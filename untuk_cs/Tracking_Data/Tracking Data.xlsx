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10"/>
  <workbookPr/>
  <mc:AlternateContent xmlns:mc="http://schemas.openxmlformats.org/markup-compatibility/2006">
    <mc:Choice Requires="x15">
      <x15ac:absPath xmlns:x15ac="http://schemas.microsoft.com/office/spreadsheetml/2010/11/ac" url="E:\03. WORKSHOP\MATERI WORKSHOP\CRM\"/>
    </mc:Choice>
  </mc:AlternateContent>
  <xr:revisionPtr revIDLastSave="0" documentId="13_ncr:1_{3C0097C8-5B0F-4EF3-A8C6-64978A58A3FA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Tracking donatur 2024" sheetId="1" r:id="rId1"/>
    <sheet name="Tracking donatur 2025" sheetId="15" r:id="rId2"/>
    <sheet name="Via CS" sheetId="16" r:id="rId3"/>
    <sheet name="All Data siagapeduli.com 2023" sheetId="14" r:id="rId4"/>
    <sheet name="Januari" sheetId="2" r:id="rId5"/>
    <sheet name="Februari" sheetId="3" r:id="rId6"/>
    <sheet name="Maret" sheetId="4" r:id="rId7"/>
    <sheet name="April" sheetId="5" r:id="rId8"/>
    <sheet name="Mei" sheetId="6" r:id="rId9"/>
    <sheet name="Juni" sheetId="7" r:id="rId10"/>
    <sheet name="Juli" sheetId="8" r:id="rId11"/>
    <sheet name="Agustus" sheetId="9" r:id="rId12"/>
    <sheet name="September" sheetId="10" r:id="rId13"/>
    <sheet name="Oktober" sheetId="11" r:id="rId14"/>
    <sheet name="November" sheetId="12" r:id="rId15"/>
    <sheet name="Desember" sheetId="13" r:id="rId1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D70" i="15" l="1"/>
  <c r="BJ70" i="15" s="1"/>
  <c r="BE70" i="15"/>
  <c r="BI70" i="15" s="1"/>
  <c r="BH70" i="15"/>
  <c r="BD17" i="15"/>
  <c r="BJ17" i="15" s="1"/>
  <c r="BE17" i="15"/>
  <c r="BI17" i="15" s="1"/>
  <c r="BH17" i="15"/>
  <c r="BD18" i="15"/>
  <c r="BJ18" i="15" s="1"/>
  <c r="BE18" i="15"/>
  <c r="BI18" i="15" s="1"/>
  <c r="BH18" i="15"/>
  <c r="BD19" i="15"/>
  <c r="BJ19" i="15" s="1"/>
  <c r="BE19" i="15"/>
  <c r="BI19" i="15" s="1"/>
  <c r="BH19" i="15"/>
  <c r="BD20" i="15"/>
  <c r="BJ20" i="15" s="1"/>
  <c r="BE20" i="15"/>
  <c r="BI20" i="15" s="1"/>
  <c r="BH20" i="15"/>
  <c r="BD21" i="15"/>
  <c r="BJ21" i="15" s="1"/>
  <c r="BE21" i="15"/>
  <c r="BI21" i="15" s="1"/>
  <c r="BH21" i="15"/>
  <c r="BD22" i="15"/>
  <c r="BJ22" i="15" s="1"/>
  <c r="BE22" i="15"/>
  <c r="BI22" i="15" s="1"/>
  <c r="BH22" i="15"/>
  <c r="BD23" i="15"/>
  <c r="BJ23" i="15" s="1"/>
  <c r="BE23" i="15"/>
  <c r="BI23" i="15" s="1"/>
  <c r="BH23" i="15"/>
  <c r="BD24" i="15"/>
  <c r="BJ24" i="15" s="1"/>
  <c r="BE24" i="15"/>
  <c r="BI24" i="15" s="1"/>
  <c r="BH24" i="15"/>
  <c r="BD25" i="15"/>
  <c r="BJ25" i="15" s="1"/>
  <c r="BE25" i="15"/>
  <c r="BI25" i="15" s="1"/>
  <c r="BH25" i="15"/>
  <c r="BD26" i="15"/>
  <c r="BJ26" i="15" s="1"/>
  <c r="BE26" i="15"/>
  <c r="BI26" i="15" s="1"/>
  <c r="BH26" i="15"/>
  <c r="BD27" i="15"/>
  <c r="BJ27" i="15" s="1"/>
  <c r="BE27" i="15"/>
  <c r="BI27" i="15" s="1"/>
  <c r="BH27" i="15"/>
  <c r="BD28" i="15"/>
  <c r="BJ28" i="15" s="1"/>
  <c r="BE28" i="15"/>
  <c r="BI28" i="15" s="1"/>
  <c r="BH28" i="15"/>
  <c r="BD29" i="15"/>
  <c r="BJ29" i="15" s="1"/>
  <c r="BE29" i="15"/>
  <c r="BI29" i="15" s="1"/>
  <c r="BH29" i="15"/>
  <c r="BD30" i="15"/>
  <c r="BJ30" i="15" s="1"/>
  <c r="BE30" i="15"/>
  <c r="BI30" i="15" s="1"/>
  <c r="BH30" i="15"/>
  <c r="BD31" i="15"/>
  <c r="BJ31" i="15" s="1"/>
  <c r="BE31" i="15"/>
  <c r="BI31" i="15" s="1"/>
  <c r="BH31" i="15"/>
  <c r="BD32" i="15"/>
  <c r="BJ32" i="15" s="1"/>
  <c r="BE32" i="15"/>
  <c r="BI32" i="15" s="1"/>
  <c r="BH32" i="15"/>
  <c r="BD33" i="15"/>
  <c r="BJ33" i="15" s="1"/>
  <c r="BE33" i="15"/>
  <c r="BI33" i="15" s="1"/>
  <c r="BH33" i="15"/>
  <c r="BD34" i="15"/>
  <c r="BJ34" i="15" s="1"/>
  <c r="BE34" i="15"/>
  <c r="BI34" i="15" s="1"/>
  <c r="BH34" i="15"/>
  <c r="BD35" i="15"/>
  <c r="BJ35" i="15" s="1"/>
  <c r="BE35" i="15"/>
  <c r="BI35" i="15" s="1"/>
  <c r="BH35" i="15"/>
  <c r="BD36" i="15"/>
  <c r="BJ36" i="15" s="1"/>
  <c r="BE36" i="15"/>
  <c r="BI36" i="15" s="1"/>
  <c r="BH36" i="15"/>
  <c r="BD37" i="15"/>
  <c r="BJ37" i="15" s="1"/>
  <c r="BE37" i="15"/>
  <c r="BI37" i="15" s="1"/>
  <c r="BH37" i="15"/>
  <c r="BD38" i="15"/>
  <c r="BJ38" i="15" s="1"/>
  <c r="BE38" i="15"/>
  <c r="BI38" i="15" s="1"/>
  <c r="BH38" i="15"/>
  <c r="BD39" i="15"/>
  <c r="BJ39" i="15" s="1"/>
  <c r="BE39" i="15"/>
  <c r="BI39" i="15" s="1"/>
  <c r="BH39" i="15"/>
  <c r="BD40" i="15"/>
  <c r="BJ40" i="15" s="1"/>
  <c r="BE40" i="15"/>
  <c r="BI40" i="15" s="1"/>
  <c r="BH40" i="15"/>
  <c r="BD41" i="15"/>
  <c r="BJ41" i="15" s="1"/>
  <c r="BE41" i="15"/>
  <c r="BI41" i="15" s="1"/>
  <c r="BH41" i="15"/>
  <c r="BD42" i="15"/>
  <c r="BJ42" i="15" s="1"/>
  <c r="BE42" i="15"/>
  <c r="BI42" i="15" s="1"/>
  <c r="BH42" i="15"/>
  <c r="BD43" i="15"/>
  <c r="BJ43" i="15" s="1"/>
  <c r="BE43" i="15"/>
  <c r="BI43" i="15" s="1"/>
  <c r="BH43" i="15"/>
  <c r="BD44" i="15"/>
  <c r="BJ44" i="15" s="1"/>
  <c r="BE44" i="15"/>
  <c r="BI44" i="15" s="1"/>
  <c r="BH44" i="15"/>
  <c r="BD45" i="15"/>
  <c r="BJ45" i="15" s="1"/>
  <c r="BE45" i="15"/>
  <c r="BI45" i="15" s="1"/>
  <c r="BH45" i="15"/>
  <c r="BD46" i="15"/>
  <c r="BJ46" i="15" s="1"/>
  <c r="BE46" i="15"/>
  <c r="BI46" i="15" s="1"/>
  <c r="BH46" i="15"/>
  <c r="BD47" i="15"/>
  <c r="BJ47" i="15" s="1"/>
  <c r="BE47" i="15"/>
  <c r="BI47" i="15" s="1"/>
  <c r="BH47" i="15"/>
  <c r="BD48" i="15"/>
  <c r="BJ48" i="15" s="1"/>
  <c r="BE48" i="15"/>
  <c r="BI48" i="15" s="1"/>
  <c r="BH48" i="15"/>
  <c r="BD49" i="15"/>
  <c r="BJ49" i="15" s="1"/>
  <c r="BE49" i="15"/>
  <c r="BI49" i="15" s="1"/>
  <c r="BH49" i="15"/>
  <c r="BD50" i="15"/>
  <c r="BJ50" i="15" s="1"/>
  <c r="BE50" i="15"/>
  <c r="BI50" i="15" s="1"/>
  <c r="BH50" i="15"/>
  <c r="BD51" i="15"/>
  <c r="BJ51" i="15" s="1"/>
  <c r="BE51" i="15"/>
  <c r="BI51" i="15" s="1"/>
  <c r="BH51" i="15"/>
  <c r="BD52" i="15"/>
  <c r="BJ52" i="15" s="1"/>
  <c r="BE52" i="15"/>
  <c r="BI52" i="15" s="1"/>
  <c r="BH52" i="15"/>
  <c r="BD53" i="15"/>
  <c r="BJ53" i="15" s="1"/>
  <c r="BE53" i="15"/>
  <c r="BI53" i="15" s="1"/>
  <c r="BH53" i="15"/>
  <c r="BD54" i="15"/>
  <c r="BJ54" i="15" s="1"/>
  <c r="BE54" i="15"/>
  <c r="BI54" i="15" s="1"/>
  <c r="BH54" i="15"/>
  <c r="BD55" i="15"/>
  <c r="BJ55" i="15" s="1"/>
  <c r="BE55" i="15"/>
  <c r="BI55" i="15" s="1"/>
  <c r="BH55" i="15"/>
  <c r="BD56" i="15"/>
  <c r="BJ56" i="15" s="1"/>
  <c r="BE56" i="15"/>
  <c r="BI56" i="15" s="1"/>
  <c r="BH56" i="15"/>
  <c r="BD57" i="15"/>
  <c r="BJ57" i="15" s="1"/>
  <c r="BE57" i="15"/>
  <c r="BI57" i="15" s="1"/>
  <c r="BH57" i="15"/>
  <c r="BD58" i="15"/>
  <c r="BJ58" i="15" s="1"/>
  <c r="BE58" i="15"/>
  <c r="BI58" i="15" s="1"/>
  <c r="BH58" i="15"/>
  <c r="BD59" i="15"/>
  <c r="BJ59" i="15" s="1"/>
  <c r="BE59" i="15"/>
  <c r="BI59" i="15" s="1"/>
  <c r="BH59" i="15"/>
  <c r="BD60" i="15"/>
  <c r="BJ60" i="15" s="1"/>
  <c r="BE60" i="15"/>
  <c r="BI60" i="15" s="1"/>
  <c r="BH60" i="15"/>
  <c r="BD61" i="15"/>
  <c r="BJ61" i="15" s="1"/>
  <c r="BE61" i="15"/>
  <c r="BI61" i="15" s="1"/>
  <c r="BH61" i="15"/>
  <c r="BD62" i="15"/>
  <c r="BJ62" i="15" s="1"/>
  <c r="BE62" i="15"/>
  <c r="BI62" i="15" s="1"/>
  <c r="BH62" i="15"/>
  <c r="BD63" i="15"/>
  <c r="BJ63" i="15" s="1"/>
  <c r="BE63" i="15"/>
  <c r="BI63" i="15" s="1"/>
  <c r="BH63" i="15"/>
  <c r="BD64" i="15"/>
  <c r="BJ64" i="15" s="1"/>
  <c r="BE64" i="15"/>
  <c r="BI64" i="15" s="1"/>
  <c r="BH64" i="15"/>
  <c r="BD65" i="15"/>
  <c r="BJ65" i="15" s="1"/>
  <c r="BE65" i="15"/>
  <c r="BI65" i="15" s="1"/>
  <c r="BH65" i="15"/>
  <c r="BD66" i="15"/>
  <c r="BJ66" i="15" s="1"/>
  <c r="BE66" i="15"/>
  <c r="BI66" i="15" s="1"/>
  <c r="BH66" i="15"/>
  <c r="BD67" i="15"/>
  <c r="BJ67" i="15" s="1"/>
  <c r="BE67" i="15"/>
  <c r="BI67" i="15" s="1"/>
  <c r="BH67" i="15"/>
  <c r="BD68" i="15"/>
  <c r="BJ68" i="15" s="1"/>
  <c r="BE68" i="15"/>
  <c r="BI68" i="15" s="1"/>
  <c r="BH68" i="15"/>
  <c r="BD69" i="15"/>
  <c r="BJ69" i="15" s="1"/>
  <c r="BE69" i="15"/>
  <c r="BI69" i="15" s="1"/>
  <c r="BH69" i="15"/>
  <c r="BH16" i="15" l="1"/>
  <c r="BE16" i="15"/>
  <c r="BI16" i="15" s="1"/>
  <c r="BD16" i="15"/>
  <c r="BJ16" i="15" s="1"/>
  <c r="BH15" i="15"/>
  <c r="BE15" i="15"/>
  <c r="BI15" i="15" s="1"/>
  <c r="BD15" i="15"/>
  <c r="BJ15" i="15" s="1"/>
  <c r="BH14" i="15"/>
  <c r="BE14" i="15"/>
  <c r="BI14" i="15" s="1"/>
  <c r="BD14" i="15"/>
  <c r="BJ14" i="15" s="1"/>
  <c r="BH13" i="15"/>
  <c r="BE13" i="15"/>
  <c r="BI13" i="15" s="1"/>
  <c r="BD13" i="15"/>
  <c r="BJ13" i="15" s="1"/>
  <c r="BH12" i="15"/>
  <c r="BE12" i="15"/>
  <c r="BI12" i="15" s="1"/>
  <c r="BD12" i="15"/>
  <c r="BJ12" i="15" s="1"/>
  <c r="BD13" i="1" l="1"/>
  <c r="BH13" i="1" s="1"/>
  <c r="BE13" i="1"/>
  <c r="BG13" i="1" s="1"/>
  <c r="BF13" i="1"/>
  <c r="BD14" i="1"/>
  <c r="BH14" i="1" s="1"/>
  <c r="BE14" i="1"/>
  <c r="BG14" i="1" s="1"/>
  <c r="BF14" i="1"/>
  <c r="BD15" i="1"/>
  <c r="BH15" i="1" s="1"/>
  <c r="BE15" i="1"/>
  <c r="BG15" i="1" s="1"/>
  <c r="BF15" i="1"/>
  <c r="BD16" i="1"/>
  <c r="BH16" i="1" s="1"/>
  <c r="BE16" i="1"/>
  <c r="BG16" i="1" s="1"/>
  <c r="BF16" i="1"/>
  <c r="BD17" i="1"/>
  <c r="BE17" i="1"/>
  <c r="BG17" i="1" s="1"/>
  <c r="BF17" i="1"/>
  <c r="BD18" i="1"/>
  <c r="BE18" i="1"/>
  <c r="BG18" i="1" s="1"/>
  <c r="BF18" i="1"/>
  <c r="BD19" i="1"/>
  <c r="BE19" i="1"/>
  <c r="BG19" i="1" s="1"/>
  <c r="BF19" i="1"/>
  <c r="BD20" i="1"/>
  <c r="BE20" i="1"/>
  <c r="BG20" i="1" s="1"/>
  <c r="BF20" i="1"/>
  <c r="BD21" i="1"/>
  <c r="BE21" i="1"/>
  <c r="BG21" i="1" s="1"/>
  <c r="BF21" i="1"/>
  <c r="BF12" i="1"/>
  <c r="BE12" i="1"/>
  <c r="BG12" i="1" s="1"/>
  <c r="BD12" i="1"/>
  <c r="BH12" i="1" s="1"/>
</calcChain>
</file>

<file path=xl/sharedStrings.xml><?xml version="1.0" encoding="utf-8"?>
<sst xmlns="http://schemas.openxmlformats.org/spreadsheetml/2006/main" count="5527" uniqueCount="1347">
  <si>
    <t>No</t>
  </si>
  <si>
    <t>Nama Donatur</t>
  </si>
  <si>
    <t>Donasi</t>
  </si>
  <si>
    <t>Program</t>
  </si>
  <si>
    <t>Email</t>
  </si>
  <si>
    <t>Whatsapp</t>
  </si>
  <si>
    <t>Januari</t>
  </si>
  <si>
    <t>September</t>
  </si>
  <si>
    <t>Total</t>
  </si>
  <si>
    <t>Frekuensi</t>
  </si>
  <si>
    <t>Rata - rata</t>
  </si>
  <si>
    <t>Kategori</t>
  </si>
  <si>
    <t>Payment</t>
  </si>
  <si>
    <t>Bagde</t>
  </si>
  <si>
    <t>Tgl Donasi</t>
  </si>
  <si>
    <t>Zakat</t>
  </si>
  <si>
    <t>BCA</t>
  </si>
  <si>
    <t>Februari</t>
  </si>
  <si>
    <t>Maret</t>
  </si>
  <si>
    <t>April</t>
  </si>
  <si>
    <t>Mei</t>
  </si>
  <si>
    <t>Juni</t>
  </si>
  <si>
    <t>Juli</t>
  </si>
  <si>
    <t>Agustus</t>
  </si>
  <si>
    <t>Oktober</t>
  </si>
  <si>
    <t>November</t>
  </si>
  <si>
    <t>Desember</t>
  </si>
  <si>
    <t>Bulan ke</t>
  </si>
  <si>
    <t>Alex</t>
  </si>
  <si>
    <t>Dudung</t>
  </si>
  <si>
    <t>Sedekah Air</t>
  </si>
  <si>
    <t>Sedekah Masjid</t>
  </si>
  <si>
    <t>MANDIRI</t>
  </si>
  <si>
    <t xml:space="preserve">Sheila </t>
  </si>
  <si>
    <t>BNI</t>
  </si>
  <si>
    <t>0812423XXX</t>
  </si>
  <si>
    <t>0812445XXX</t>
  </si>
  <si>
    <t>08124966XXX</t>
  </si>
  <si>
    <t>0812478XXX</t>
  </si>
  <si>
    <t>Doni</t>
  </si>
  <si>
    <t>BRI</t>
  </si>
  <si>
    <t>Beasiswa</t>
  </si>
  <si>
    <t>PLATINUM</t>
  </si>
  <si>
    <t>GOLD</t>
  </si>
  <si>
    <t>SILVER</t>
  </si>
  <si>
    <t>Leo</t>
  </si>
  <si>
    <t>TRACKING DATA TRANSAKSI 2023</t>
  </si>
  <si>
    <t>CRM</t>
  </si>
  <si>
    <t>Tahun</t>
  </si>
  <si>
    <t>Desi</t>
  </si>
  <si>
    <t>Bulan</t>
  </si>
  <si>
    <t>Shinta</t>
  </si>
  <si>
    <t>Dian</t>
  </si>
  <si>
    <t>Cindy</t>
  </si>
  <si>
    <t>Agus</t>
  </si>
  <si>
    <t>Dani</t>
  </si>
  <si>
    <t>Langkah :</t>
  </si>
  <si>
    <t>1. gabungkan semua data transaksi jan - desember</t>
  </si>
  <si>
    <t>2. hapus duplikat</t>
  </si>
  <si>
    <t>3. pindahkan ke tracking</t>
  </si>
  <si>
    <t>TRACKING DATA TRANSAKSI 2025</t>
  </si>
  <si>
    <t>Preferensi</t>
  </si>
  <si>
    <t>Nama</t>
  </si>
  <si>
    <t>Tanggal</t>
  </si>
  <si>
    <t>Yudiawati Kusumaningrum</t>
  </si>
  <si>
    <t xml:space="preserve">SEDEKAH SUBUH </t>
  </si>
  <si>
    <t>Jan 08, 2025 - 06:05</t>
  </si>
  <si>
    <t>Taman Zakat Indonesia</t>
  </si>
  <si>
    <t>Gqgqgwg</t>
  </si>
  <si>
    <t>SEDEKAH JUMAT</t>
  </si>
  <si>
    <t>Jan 03, 2025 - 11:01</t>
  </si>
  <si>
    <t>Roni</t>
  </si>
  <si>
    <t>08112263007</t>
  </si>
  <si>
    <t>SEDEKAH UNTUK PALESTINA</t>
  </si>
  <si>
    <t>Jan 14, 2025 - 09:43</t>
  </si>
  <si>
    <t>Arini</t>
  </si>
  <si>
    <t>08119112132</t>
  </si>
  <si>
    <t>INFAK PALESTINA</t>
  </si>
  <si>
    <t>Jan 28, 2025 - 21:28</t>
  </si>
  <si>
    <t>SHOPEEPAY - iPaymu</t>
  </si>
  <si>
    <t>Karminarsih</t>
  </si>
  <si>
    <t>081231335610</t>
  </si>
  <si>
    <t>Jan 26, 2025 - 05:11</t>
  </si>
  <si>
    <t>K</t>
  </si>
  <si>
    <t>081235418131</t>
  </si>
  <si>
    <t>SEDEKAH SUBUH UNTUK PENGHAFAL QURAN GAZA</t>
  </si>
  <si>
    <t>Jan 01, 2025 - 12:04</t>
  </si>
  <si>
    <t>Khodijah Kelubas</t>
  </si>
  <si>
    <t>08124049132</t>
  </si>
  <si>
    <t>Jan 17, 2025 - 06:43</t>
  </si>
  <si>
    <t>Hamba Allah</t>
  </si>
  <si>
    <t>081252227690</t>
  </si>
  <si>
    <t>Jan 28, 2025 - 19:09</t>
  </si>
  <si>
    <t>Hj. Asmarani br Saragih</t>
  </si>
  <si>
    <t>081260096930</t>
  </si>
  <si>
    <t>Jan 17, 2025 - 14:57</t>
  </si>
  <si>
    <t>Sukarno</t>
  </si>
  <si>
    <t>081282644340</t>
  </si>
  <si>
    <t>Jan 11, 2025 - 19:45</t>
  </si>
  <si>
    <t>QRIS</t>
  </si>
  <si>
    <t>Muh. Alifbuhari</t>
  </si>
  <si>
    <t>081315878037</t>
  </si>
  <si>
    <t>Jan 28, 2025 - 21:04</t>
  </si>
  <si>
    <t xml:space="preserve">Chandra </t>
  </si>
  <si>
    <t>081317232088</t>
  </si>
  <si>
    <t>Jan 10, 2025 - 12:52</t>
  </si>
  <si>
    <t>GOPAY</t>
  </si>
  <si>
    <t>Yogatama wisnu w</t>
  </si>
  <si>
    <t>081331170609</t>
  </si>
  <si>
    <t xml:space="preserve">ZAKAT PENGHASILAN/PROFESI </t>
  </si>
  <si>
    <t>Jan 06, 2025 - 09:16</t>
  </si>
  <si>
    <t>VA BCA - Brandup</t>
  </si>
  <si>
    <t>Eny Rachmawati</t>
  </si>
  <si>
    <t>081333106255</t>
  </si>
  <si>
    <t>Jan 10, 2025 - 05:08</t>
  </si>
  <si>
    <t>Fahrur roji</t>
  </si>
  <si>
    <t>081339628451</t>
  </si>
  <si>
    <t>Jan 28, 2025 - 20:01</t>
  </si>
  <si>
    <t>San</t>
  </si>
  <si>
    <t>081357157196</t>
  </si>
  <si>
    <t>SEDEKAH AIR BERSIH UNTUK PALESTINA</t>
  </si>
  <si>
    <t>Jan 25, 2025 - 11:24</t>
  </si>
  <si>
    <t>Abdu ini</t>
  </si>
  <si>
    <t>081367251595</t>
  </si>
  <si>
    <t>Jan 11, 2025 - 16:35</t>
  </si>
  <si>
    <t>Kasmawati</t>
  </si>
  <si>
    <t>081375349218</t>
  </si>
  <si>
    <t>Jan 14, 2025 - 11:57</t>
  </si>
  <si>
    <t>Muhammad Hatta Gussetiyo</t>
  </si>
  <si>
    <t>081385116636</t>
  </si>
  <si>
    <t xml:space="preserve">TEBAR MANFAAT QURAN </t>
  </si>
  <si>
    <t>Jan 07, 2025 - 09:22</t>
  </si>
  <si>
    <t>Riantono</t>
  </si>
  <si>
    <t>081398392812</t>
  </si>
  <si>
    <t>Jan 03, 2025 - 19:56</t>
  </si>
  <si>
    <t>Aruna binti fatah</t>
  </si>
  <si>
    <t>081615099989</t>
  </si>
  <si>
    <t>Jan 29, 2025 - 10:08</t>
  </si>
  <si>
    <t>081617918408</t>
  </si>
  <si>
    <t>Jan 19, 2025 - 20:55</t>
  </si>
  <si>
    <t>Tari</t>
  </si>
  <si>
    <t>0817442788</t>
  </si>
  <si>
    <t>Jan 27, 2025 - 13:02</t>
  </si>
  <si>
    <t>risdy</t>
  </si>
  <si>
    <t>081818478151</t>
  </si>
  <si>
    <t>Jan 14, 2025 - 14:51</t>
  </si>
  <si>
    <t>DANA - iPaymu</t>
  </si>
  <si>
    <t>Riesti Kartikaningrum</t>
  </si>
  <si>
    <t>082139310358</t>
  </si>
  <si>
    <t>Jan 04, 2025 - 03:54</t>
  </si>
  <si>
    <t>Hamba ALLAH</t>
  </si>
  <si>
    <t>082139462313</t>
  </si>
  <si>
    <t>Jan 03, 2025 - 17:42</t>
  </si>
  <si>
    <t>R</t>
  </si>
  <si>
    <t>082140302855</t>
  </si>
  <si>
    <t>Jan 29, 2025 - 05:47</t>
  </si>
  <si>
    <t>H.HALEDE H.NACA</t>
  </si>
  <si>
    <t>082187836044</t>
  </si>
  <si>
    <t>Jan 28, 2025 - 09:21</t>
  </si>
  <si>
    <t>Shely yannosuke veronica</t>
  </si>
  <si>
    <t>082213907979</t>
  </si>
  <si>
    <t>Jan 08, 2025 - 05:49</t>
  </si>
  <si>
    <t>Sɪ�ɪ fatimah</t>
  </si>
  <si>
    <t>082223284038</t>
  </si>
  <si>
    <t>Jan 29, 2025 - 15:15</t>
  </si>
  <si>
    <t>082255255743</t>
  </si>
  <si>
    <t>Jan 26, 2025 - 10:22</t>
  </si>
  <si>
    <t>082277020586</t>
  </si>
  <si>
    <t>Jan 26, 2025 - 19:50</t>
  </si>
  <si>
    <t>Yyyyy</t>
  </si>
  <si>
    <t>082282572847</t>
  </si>
  <si>
    <t>Jan 26, 2025 - 15:53</t>
  </si>
  <si>
    <t>Anon</t>
  </si>
  <si>
    <t>083865345139</t>
  </si>
  <si>
    <t>Jan 16, 2025 - 11:53</t>
  </si>
  <si>
    <t>0838868686</t>
  </si>
  <si>
    <t>Jan 31, 2025 - 11:14</t>
  </si>
  <si>
    <t>Ziyad</t>
  </si>
  <si>
    <t>085232483696</t>
  </si>
  <si>
    <t>Jan 31, 2025 - 09:32</t>
  </si>
  <si>
    <t>Wiwin zakkiyah</t>
  </si>
  <si>
    <t>085257950464</t>
  </si>
  <si>
    <t>LAYANAN AMBULANCE  GRATIS</t>
  </si>
  <si>
    <t>Jan 04, 2025 - 04:14</t>
  </si>
  <si>
    <t>Eva</t>
  </si>
  <si>
    <t>085258099157</t>
  </si>
  <si>
    <t>Jan 26, 2025 - 20:57</t>
  </si>
  <si>
    <t>Yeni astuti</t>
  </si>
  <si>
    <t>085275552434</t>
  </si>
  <si>
    <t>Jan 19, 2025 - 12:36</t>
  </si>
  <si>
    <t>Murtadho</t>
  </si>
  <si>
    <t>085291467599</t>
  </si>
  <si>
    <t>Jan 08, 2025 - 10:01</t>
  </si>
  <si>
    <t>Aufar</t>
  </si>
  <si>
    <t>085320441448</t>
  </si>
  <si>
    <t>Jan 17, 2025 - 09:09</t>
  </si>
  <si>
    <t>azka</t>
  </si>
  <si>
    <t>085646488488</t>
  </si>
  <si>
    <t>Jan 10, 2025 - 05:26</t>
  </si>
  <si>
    <t>Ria</t>
  </si>
  <si>
    <t>085648467668</t>
  </si>
  <si>
    <t xml:space="preserve">DONASI BUNGA BANK </t>
  </si>
  <si>
    <t>Jan 12, 2025 - 04:28</t>
  </si>
  <si>
    <t>Nurul Hikmawati Hikmawati</t>
  </si>
  <si>
    <t>085694033633</t>
  </si>
  <si>
    <t>Jan 10, 2025 - 17:25</t>
  </si>
  <si>
    <t>Moh Fajar Sutoyo</t>
  </si>
  <si>
    <t>085714314300</t>
  </si>
  <si>
    <t>Jan 07, 2025 - 03:47</t>
  </si>
  <si>
    <t>Leni Sri laelani</t>
  </si>
  <si>
    <t>085717800779</t>
  </si>
  <si>
    <t>Jan 26, 2025 - 19:30</t>
  </si>
  <si>
    <t>Adityas</t>
  </si>
  <si>
    <t>085728034177</t>
  </si>
  <si>
    <t>Jan 17, 2025 - 12:39</t>
  </si>
  <si>
    <t>Asuyudi</t>
  </si>
  <si>
    <t>085729388849</t>
  </si>
  <si>
    <t>Jan 09, 2025 - 00:08</t>
  </si>
  <si>
    <t>Idham</t>
  </si>
  <si>
    <t>085730581492</t>
  </si>
  <si>
    <t>INFAQ OPERASIONAL AMIL</t>
  </si>
  <si>
    <t>Jan 14, 2025 - 10:06</t>
  </si>
  <si>
    <t xml:space="preserve">Hamba Allah </t>
  </si>
  <si>
    <t>085733144081</t>
  </si>
  <si>
    <t>Jan 21, 2025 - 05:24</t>
  </si>
  <si>
    <t>Nina</t>
  </si>
  <si>
    <t>085796206516</t>
  </si>
  <si>
    <t>Jan 26, 2025 - 19:08</t>
  </si>
  <si>
    <t>LINKITA</t>
  </si>
  <si>
    <t>pratama</t>
  </si>
  <si>
    <t>085810253029</t>
  </si>
  <si>
    <t>Jan 26, 2025 - 11:23</t>
  </si>
  <si>
    <t>yuli</t>
  </si>
  <si>
    <t>087789231589</t>
  </si>
  <si>
    <t>Jan 10, 2025 - 18:10</t>
  </si>
  <si>
    <t>VA BCA - Hallo Bali</t>
  </si>
  <si>
    <t>Tuminah</t>
  </si>
  <si>
    <t>087824291539</t>
  </si>
  <si>
    <t>Jan 29, 2025 - 20:16</t>
  </si>
  <si>
    <t>Munawir haris</t>
  </si>
  <si>
    <t>087825566683</t>
  </si>
  <si>
    <t>Jan 29, 2025 - 10:56</t>
  </si>
  <si>
    <t>Ifta</t>
  </si>
  <si>
    <t>087874006856</t>
  </si>
  <si>
    <t>Jan 23, 2025 - 05:12</t>
  </si>
  <si>
    <t>Ramadhan Ilham Aqsal Mollah</t>
  </si>
  <si>
    <t>088217015579</t>
  </si>
  <si>
    <t>Jan 31, 2025 - 18:50</t>
  </si>
  <si>
    <t>Hambaa allah</t>
  </si>
  <si>
    <t>089504289628</t>
  </si>
  <si>
    <t>Jan 15, 2025 - 16:17</t>
  </si>
  <si>
    <t>habibi erna</t>
  </si>
  <si>
    <t>089693854987</t>
  </si>
  <si>
    <t>Jan 14, 2025 - 10:34</t>
  </si>
  <si>
    <t>Renita</t>
  </si>
  <si>
    <t>Andi M</t>
  </si>
  <si>
    <t>Feb 09, 2025 - 08:56</t>
  </si>
  <si>
    <t>Feb 14, 2025 - 17:21</t>
  </si>
  <si>
    <t>VA BRI - iPaymu Taman Zakat Indonesia</t>
  </si>
  <si>
    <t>Asep Shaifurrahman</t>
  </si>
  <si>
    <t>Feb 14, 2025 - 07:12</t>
  </si>
  <si>
    <t>Tuyamin dan keluargs</t>
  </si>
  <si>
    <t>Feb 13, 2025 - 19:47</t>
  </si>
  <si>
    <t>anis amours amours</t>
  </si>
  <si>
    <t>Feb 14, 2025 - 16:29</t>
  </si>
  <si>
    <t>Feb 27, 2025 - 16:55</t>
  </si>
  <si>
    <t>VA BNI - iPaymu Taman Zakat Indonesia</t>
  </si>
  <si>
    <t>Joko andriyanto</t>
  </si>
  <si>
    <t>SEDEKAH KEMANUSIAAN: BANGUN KEMBALI PALESTINA</t>
  </si>
  <si>
    <t>Feb 26, 2025 - 22:04</t>
  </si>
  <si>
    <t>Putra dika</t>
  </si>
  <si>
    <t>Feb 11, 2025 - 23:46</t>
  </si>
  <si>
    <t>VA MANDIRI - iPaymu Taman Zakat Indone</t>
  </si>
  <si>
    <t>Feb 19, 2025 - 17:55</t>
  </si>
  <si>
    <t>Cahyo Mursito Rima Yuliana Rayya Aileenara Mursito</t>
  </si>
  <si>
    <t>Feb 27, 2025 - 16:59</t>
  </si>
  <si>
    <t>Mulyanah</t>
  </si>
  <si>
    <t>Feb 19, 2025 - 17:42</t>
  </si>
  <si>
    <t>Haryadi</t>
  </si>
  <si>
    <t>Feb 23, 2025 - 07:35</t>
  </si>
  <si>
    <t>keluarga raditya</t>
  </si>
  <si>
    <t>Feb 23, 2025 - 05:51</t>
  </si>
  <si>
    <t>Dini</t>
  </si>
  <si>
    <t>Feb 26, 2025 - 22:31</t>
  </si>
  <si>
    <t>yudi</t>
  </si>
  <si>
    <t>Feb 27, 2025 - 15:25</t>
  </si>
  <si>
    <t>Riyanto</t>
  </si>
  <si>
    <t>Feb 13, 2025 - 14:05</t>
  </si>
  <si>
    <t>Smith Pabbola</t>
  </si>
  <si>
    <t>Feb 14, 2025 - 07:38</t>
  </si>
  <si>
    <t>W</t>
  </si>
  <si>
    <t>000000000</t>
  </si>
  <si>
    <t>Feb 21, 2025 - 13:30</t>
  </si>
  <si>
    <t>000000000000</t>
  </si>
  <si>
    <t>Feb 09, 2025 - 04:24</t>
  </si>
  <si>
    <t>Mia</t>
  </si>
  <si>
    <t>009876544</t>
  </si>
  <si>
    <t>Feb 23, 2025 - 06:18</t>
  </si>
  <si>
    <t>0123456789</t>
  </si>
  <si>
    <t>SEDEKAH/INFAK HARIAN</t>
  </si>
  <si>
    <t>Feb 28, 2025 - 05:03</t>
  </si>
  <si>
    <t>Jasmine</t>
  </si>
  <si>
    <t>08111112124</t>
  </si>
  <si>
    <t>Feb 20, 2025 - 04:31</t>
  </si>
  <si>
    <t>Siti latifah</t>
  </si>
  <si>
    <t>08111122748</t>
  </si>
  <si>
    <t>Feb 19, 2025 - 18:46</t>
  </si>
  <si>
    <t>Zaafrin</t>
  </si>
  <si>
    <t>08111899435</t>
  </si>
  <si>
    <t>Feb 19, 2025 - 07:27</t>
  </si>
  <si>
    <t>Yt</t>
  </si>
  <si>
    <t>0811223455</t>
  </si>
  <si>
    <t>Feb 26, 2025 - 17:19</t>
  </si>
  <si>
    <t>Donna Delaila binti Nazaruddin</t>
  </si>
  <si>
    <t>08112923303</t>
  </si>
  <si>
    <t>Feb 18, 2025 - 06:27</t>
  </si>
  <si>
    <t>Moch. Reza Kuncoro Yakti</t>
  </si>
  <si>
    <t>08113777893</t>
  </si>
  <si>
    <t>Feb 21, 2025 - 14:33</t>
  </si>
  <si>
    <t>VA BSI - iPaymu - iPaymu Taman Zakat Indo</t>
  </si>
  <si>
    <t>Aris Adama</t>
  </si>
  <si>
    <t>08114111158</t>
  </si>
  <si>
    <t>Feb 25, 2025 - 18:37</t>
  </si>
  <si>
    <t>Farid</t>
  </si>
  <si>
    <t>08114601060</t>
  </si>
  <si>
    <t>Feb 19, 2025 - 07:21</t>
  </si>
  <si>
    <t>Ha</t>
  </si>
  <si>
    <t>08115772727</t>
  </si>
  <si>
    <t>Feb 13, 2025 - 07:12</t>
  </si>
  <si>
    <t>0811727965</t>
  </si>
  <si>
    <t>Feb 27, 2025 - 02:41</t>
  </si>
  <si>
    <t>Siti Munawaroh</t>
  </si>
  <si>
    <t>08117300041</t>
  </si>
  <si>
    <t>Feb 18, 2025 - 07:32</t>
  </si>
  <si>
    <t>Pingkan</t>
  </si>
  <si>
    <t>08118084010</t>
  </si>
  <si>
    <t>Feb 25, 2025 - 11:15</t>
  </si>
  <si>
    <t>08118859888</t>
  </si>
  <si>
    <t>Feb 21, 2025 - 18:27</t>
  </si>
  <si>
    <t>Ebnu Yufriadi</t>
  </si>
  <si>
    <t>08119933208</t>
  </si>
  <si>
    <t>Feb 26, 2025 - 03:47</t>
  </si>
  <si>
    <t>Ardiansyah marwan</t>
  </si>
  <si>
    <t>081212646636</t>
  </si>
  <si>
    <t>Feb 27, 2025 - 09:09</t>
  </si>
  <si>
    <t>Test Advertiser</t>
  </si>
  <si>
    <t>081213711980</t>
  </si>
  <si>
    <t>Feb 25, 2025 - 08:18</t>
  </si>
  <si>
    <t>Adi Kurniawan</t>
  </si>
  <si>
    <t>081214003308</t>
  </si>
  <si>
    <t>Feb 25, 2025 - 07:30</t>
  </si>
  <si>
    <t>081214440232</t>
  </si>
  <si>
    <t>Feb 28, 2025 - 05:52</t>
  </si>
  <si>
    <t>08121517843</t>
  </si>
  <si>
    <t>Feb 13, 2025 - 07:45</t>
  </si>
  <si>
    <t>Untung kurniawan</t>
  </si>
  <si>
    <t>081216301200</t>
  </si>
  <si>
    <t>Feb 15, 2025 - 18:01</t>
  </si>
  <si>
    <t>Zaid Deni</t>
  </si>
  <si>
    <t>081216362480</t>
  </si>
  <si>
    <t>Feb 27, 2025 - 04:35</t>
  </si>
  <si>
    <t>Danny</t>
  </si>
  <si>
    <t>081216887432</t>
  </si>
  <si>
    <t>Feb 01, 2025 - 05:59</t>
  </si>
  <si>
    <t>Rima</t>
  </si>
  <si>
    <t>081217429551</t>
  </si>
  <si>
    <t>Feb 26, 2025 - 22:22</t>
  </si>
  <si>
    <t>Dmas</t>
  </si>
  <si>
    <t>081218003737</t>
  </si>
  <si>
    <t>Feb 27, 2025 - 10:03</t>
  </si>
  <si>
    <t>Ms Udin</t>
  </si>
  <si>
    <t>081218525187</t>
  </si>
  <si>
    <t>Feb 13, 2025 - 04:16</t>
  </si>
  <si>
    <t>rakhmad dan MWL</t>
  </si>
  <si>
    <t>081219121925</t>
  </si>
  <si>
    <t>Feb 24, 2025 - 04:27</t>
  </si>
  <si>
    <t>Hamba allah</t>
  </si>
  <si>
    <t>081219218222</t>
  </si>
  <si>
    <t>Feb 26, 2025 - 06:31</t>
  </si>
  <si>
    <t>OVO - iPaymu</t>
  </si>
  <si>
    <t>Deddy</t>
  </si>
  <si>
    <t>08122025897</t>
  </si>
  <si>
    <t>Feb 03, 2025 - 17:27</t>
  </si>
  <si>
    <t>Pipin Sofiati</t>
  </si>
  <si>
    <t>081221502893</t>
  </si>
  <si>
    <t>Feb 14, 2025 - 10:02</t>
  </si>
  <si>
    <t>ipaymu</t>
  </si>
  <si>
    <t>Abdullah</t>
  </si>
  <si>
    <t>081222333444</t>
  </si>
  <si>
    <t>Feb 18, 2025 - 06:06</t>
  </si>
  <si>
    <t>Hamba Allooh</t>
  </si>
  <si>
    <t>081225351870</t>
  </si>
  <si>
    <t>Feb 25, 2025 - 16:47</t>
  </si>
  <si>
    <t>Bung Kecil</t>
  </si>
  <si>
    <t>081225858581</t>
  </si>
  <si>
    <t>Feb 19, 2025 - 16:43</t>
  </si>
  <si>
    <t>Pratiwi Dyah Wardani</t>
  </si>
  <si>
    <t>081225996810</t>
  </si>
  <si>
    <t>Feb 28, 2025 - 06:30</t>
  </si>
  <si>
    <t>mujiyono</t>
  </si>
  <si>
    <t>081227054253</t>
  </si>
  <si>
    <t>Feb 04, 2025 - 14:29</t>
  </si>
  <si>
    <t>ENGGAR CAHYADI</t>
  </si>
  <si>
    <t>08122800559</t>
  </si>
  <si>
    <t>Feb 25, 2025 - 08:09</t>
  </si>
  <si>
    <t>Sri manu rohmiyati</t>
  </si>
  <si>
    <t>081229490309</t>
  </si>
  <si>
    <t>Feb 15, 2025 - 20:08</t>
  </si>
  <si>
    <t>Rike</t>
  </si>
  <si>
    <t>081234472121</t>
  </si>
  <si>
    <t>Feb 28, 2025 - 06:53</t>
  </si>
  <si>
    <t>Kenyo Rukmi Purwito</t>
  </si>
  <si>
    <t>INFAK UNTUK PALESTINA</t>
  </si>
  <si>
    <t>Feb 27, 2025 - 14:18</t>
  </si>
  <si>
    <t>Yunita</t>
  </si>
  <si>
    <t>08123867950</t>
  </si>
  <si>
    <t>Feb 12, 2025 - 06:11</t>
  </si>
  <si>
    <t>Bahtiar</t>
  </si>
  <si>
    <t>081240081487</t>
  </si>
  <si>
    <t>Feb 12, 2025 - 20:28</t>
  </si>
  <si>
    <t>Hasniar</t>
  </si>
  <si>
    <t>081243553577</t>
  </si>
  <si>
    <t>Feb 14, 2025 - 03:53</t>
  </si>
  <si>
    <t>Hasan Slamat</t>
  </si>
  <si>
    <t>081247538201</t>
  </si>
  <si>
    <t>Feb 14, 2025 - 05:30</t>
  </si>
  <si>
    <t>Ormuz shinta</t>
  </si>
  <si>
    <t>081248104304</t>
  </si>
  <si>
    <t>Feb 13, 2025 - 19:36</t>
  </si>
  <si>
    <t>Wa Imah dan lahoga</t>
  </si>
  <si>
    <t>081248432082</t>
  </si>
  <si>
    <t>BANGUN KEMBALI GAZA</t>
  </si>
  <si>
    <t>Feb 28, 2025 - 05:42</t>
  </si>
  <si>
    <t>Henrie</t>
  </si>
  <si>
    <t>081249631405</t>
  </si>
  <si>
    <t>Feb 23, 2025 - 05:22</t>
  </si>
  <si>
    <t>Anang Hambali</t>
  </si>
  <si>
    <t>081251841362</t>
  </si>
  <si>
    <t>Feb 12, 2025 - 19:04</t>
  </si>
  <si>
    <t>Mariani</t>
  </si>
  <si>
    <t>081254409091</t>
  </si>
  <si>
    <t>Feb 21, 2025 - 12:17</t>
  </si>
  <si>
    <t>H. M.Amin bin H.M.Ali alm</t>
  </si>
  <si>
    <t>081254474919</t>
  </si>
  <si>
    <t>Feb 28, 2025 - 18:44</t>
  </si>
  <si>
    <t>081254820115</t>
  </si>
  <si>
    <t>Feb 23, 2025 - 16:27</t>
  </si>
  <si>
    <t>Ardi Suharsono</t>
  </si>
  <si>
    <t>081255582255</t>
  </si>
  <si>
    <t>Feb 26, 2025 - 10:56</t>
  </si>
  <si>
    <t>Muzdalifah</t>
  </si>
  <si>
    <t>081255700198</t>
  </si>
  <si>
    <t>Feb 23, 2025 - 10:50</t>
  </si>
  <si>
    <t>Maulana</t>
  </si>
  <si>
    <t>081255739576</t>
  </si>
  <si>
    <t>Feb 24, 2025 - 08:32</t>
  </si>
  <si>
    <t>MUHAMMAD KHAIRIL ANWAR</t>
  </si>
  <si>
    <t>081256733223</t>
  </si>
  <si>
    <t>Feb 08, 2025 - 05:36</t>
  </si>
  <si>
    <t>081257591458</t>
  </si>
  <si>
    <t>Feb 12, 2025 - 19:53</t>
  </si>
  <si>
    <t>Asnawi</t>
  </si>
  <si>
    <t>08125841118</t>
  </si>
  <si>
    <t>Feb 08, 2025 - 18:21</t>
  </si>
  <si>
    <t>Apeng aritonang aritonang</t>
  </si>
  <si>
    <t>081264399733</t>
  </si>
  <si>
    <t>Feb 16, 2025 - 12:58</t>
  </si>
  <si>
    <t>MUHARDI KOTO</t>
  </si>
  <si>
    <t>081264408575</t>
  </si>
  <si>
    <t>Feb 26, 2025 - 12:55</t>
  </si>
  <si>
    <t>081264609699</t>
  </si>
  <si>
    <t>Feb 19, 2025 - 11:08</t>
  </si>
  <si>
    <t>Abdul Rauf</t>
  </si>
  <si>
    <t>08126590763</t>
  </si>
  <si>
    <t>Feb 27, 2025 - 10:38</t>
  </si>
  <si>
    <t>081266252532</t>
  </si>
  <si>
    <t>Feb 27, 2025 - 11:05</t>
  </si>
  <si>
    <t>08126985017</t>
  </si>
  <si>
    <t>SEDEKAH SUBUH UNTUK PALESTINA</t>
  </si>
  <si>
    <t>Feb 25, 2025 - 07:43</t>
  </si>
  <si>
    <t>Soimah</t>
  </si>
  <si>
    <t>081270886614</t>
  </si>
  <si>
    <t>Feb 10, 2025 - 20:36</t>
  </si>
  <si>
    <t>08127518764</t>
  </si>
  <si>
    <t>Feb 08, 2025 - 09:20</t>
  </si>
  <si>
    <t>081277707725</t>
  </si>
  <si>
    <t>Feb 19, 2025 - 17:36</t>
  </si>
  <si>
    <t>Eva suryani</t>
  </si>
  <si>
    <t>081277829918</t>
  </si>
  <si>
    <t>Feb 27, 2025 - 18:37</t>
  </si>
  <si>
    <t>Ranny Dwi Handayani</t>
  </si>
  <si>
    <t>081278743618</t>
  </si>
  <si>
    <t>Feb 20, 2025 - 20:27</t>
  </si>
  <si>
    <t>VA MUAMALAT - iPaymu Taman Zakat Indo</t>
  </si>
  <si>
    <t>marzoni</t>
  </si>
  <si>
    <t>081280467282</t>
  </si>
  <si>
    <t>Feb 25, 2025 - 05:23</t>
  </si>
  <si>
    <t>Hendra sugandi</t>
  </si>
  <si>
    <t>081280515119</t>
  </si>
  <si>
    <t>Feb 22, 2025 - 08:16</t>
  </si>
  <si>
    <t>Mirza</t>
  </si>
  <si>
    <t>081280886360</t>
  </si>
  <si>
    <t>SEDEKAH UNTUK ORANG TUA</t>
  </si>
  <si>
    <t>Feb 24, 2025 - 03:42</t>
  </si>
  <si>
    <t>VA PERMATA - iPaymu Taman Zakat Indonesia</t>
  </si>
  <si>
    <t>Jarot Dian</t>
  </si>
  <si>
    <t>081283894815</t>
  </si>
  <si>
    <t>Feb 22, 2025 - 10:01</t>
  </si>
  <si>
    <t>Erdonis Erdwan</t>
  </si>
  <si>
    <t>081284660671</t>
  </si>
  <si>
    <t>Feb 14, 2025 - 02:09</t>
  </si>
  <si>
    <t>Yusnita Qorinawati</t>
  </si>
  <si>
    <t>081285320134</t>
  </si>
  <si>
    <t>Feb 14, 2025 - 01:19</t>
  </si>
  <si>
    <t>Farras Ash Shiddiq Aqsha</t>
  </si>
  <si>
    <t>081286029456</t>
  </si>
  <si>
    <t>Feb 20, 2025 - 18:45</t>
  </si>
  <si>
    <t>081288227989</t>
  </si>
  <si>
    <t>Feb 26, 2025 - 04:27</t>
  </si>
  <si>
    <t>Lilik endang wati</t>
  </si>
  <si>
    <t>081288311215</t>
  </si>
  <si>
    <t>Feb 13, 2025 - 18:52</t>
  </si>
  <si>
    <t>susi</t>
  </si>
  <si>
    <t>081288820063</t>
  </si>
  <si>
    <t>Feb 14, 2025 - 14:41</t>
  </si>
  <si>
    <t>081293777760</t>
  </si>
  <si>
    <t>Feb 19, 2025 - 17:44</t>
  </si>
  <si>
    <t>Hasfhi Rahmat</t>
  </si>
  <si>
    <t>081294271113</t>
  </si>
  <si>
    <t>Feb 18, 2025 - 07:25</t>
  </si>
  <si>
    <t>Muryanto Muryantose</t>
  </si>
  <si>
    <t>08129444092</t>
  </si>
  <si>
    <t>Feb 14, 2025 - 06:53</t>
  </si>
  <si>
    <t>Muhammad Nur Khaliem Muda</t>
  </si>
  <si>
    <t>081295567271</t>
  </si>
  <si>
    <t>Feb 07, 2025 - 08:42</t>
  </si>
  <si>
    <t>081295700851</t>
  </si>
  <si>
    <t>Feb 22, 2025 - 21:25</t>
  </si>
  <si>
    <t>081296266266</t>
  </si>
  <si>
    <t>Feb 14, 2025 - 18:53</t>
  </si>
  <si>
    <t>Dyah Prasetyowati</t>
  </si>
  <si>
    <t>081297189831</t>
  </si>
  <si>
    <t>Feb 21, 2025 - 09:06</t>
  </si>
  <si>
    <t>Nanang</t>
  </si>
  <si>
    <t>081297700994</t>
  </si>
  <si>
    <t>Feb 14, 2025 - 09:38</t>
  </si>
  <si>
    <t>hamba Allah</t>
  </si>
  <si>
    <t>081298793340</t>
  </si>
  <si>
    <t>Feb 10, 2025 - 20:11</t>
  </si>
  <si>
    <t>Rakka</t>
  </si>
  <si>
    <t>081310254784</t>
  </si>
  <si>
    <t>Feb 27, 2025 - 07:18</t>
  </si>
  <si>
    <t>All</t>
  </si>
  <si>
    <t>081311459461</t>
  </si>
  <si>
    <t>Feb 12, 2025 - 20:24</t>
  </si>
  <si>
    <t>Yenie</t>
  </si>
  <si>
    <t>081314931137</t>
  </si>
  <si>
    <t>Feb 13, 2025 - 20:15</t>
  </si>
  <si>
    <t>Dewi</t>
  </si>
  <si>
    <t>081316313560</t>
  </si>
  <si>
    <t>Feb 21, 2025 - 12:06</t>
  </si>
  <si>
    <t>Hatpidhy Anom</t>
  </si>
  <si>
    <t>081317619005</t>
  </si>
  <si>
    <t>Feb 13, 2025 - 19:52</t>
  </si>
  <si>
    <t>A</t>
  </si>
  <si>
    <t>081322100212</t>
  </si>
  <si>
    <t>Feb 22, 2025 - 11:15</t>
  </si>
  <si>
    <t>Sujitno</t>
  </si>
  <si>
    <t>081325407588</t>
  </si>
  <si>
    <t>Feb 19, 2025 - 06:53</t>
  </si>
  <si>
    <t>Susanti</t>
  </si>
  <si>
    <t>081328185494</t>
  </si>
  <si>
    <t>Feb 27, 2025 - 02:57</t>
  </si>
  <si>
    <t xml:space="preserve">Herlina binti Muhammad Rafi </t>
  </si>
  <si>
    <t>081328516824</t>
  </si>
  <si>
    <t>Feb 13, 2025 - 01:41</t>
  </si>
  <si>
    <t>Abu syauqi</t>
  </si>
  <si>
    <t>081331133384</t>
  </si>
  <si>
    <t>Feb 26, 2025 - 05:52</t>
  </si>
  <si>
    <t>Yogatama wisnu</t>
  </si>
  <si>
    <t>INFAK YATIM</t>
  </si>
  <si>
    <t>Feb 21, 2025 - 11:55</t>
  </si>
  <si>
    <t>081331250699</t>
  </si>
  <si>
    <t>Feb 14, 2025 - 07:20</t>
  </si>
  <si>
    <t>Vadiansyah</t>
  </si>
  <si>
    <t>081331278168</t>
  </si>
  <si>
    <t>Feb 22, 2025 - 04:48</t>
  </si>
  <si>
    <t>Suhartatik</t>
  </si>
  <si>
    <t>081332217409</t>
  </si>
  <si>
    <t>Feb 19, 2025 - 08:29</t>
  </si>
  <si>
    <t>Feb 07, 2025 - 04:40</t>
  </si>
  <si>
    <t>Nurlaila</t>
  </si>
  <si>
    <t>081336400335</t>
  </si>
  <si>
    <t>Feb 27, 2025 - 07:30</t>
  </si>
  <si>
    <t>Mustaram</t>
  </si>
  <si>
    <t>081339567867</t>
  </si>
  <si>
    <t>Feb 13, 2025 - 20:03</t>
  </si>
  <si>
    <t>titin sarisnawati</t>
  </si>
  <si>
    <t>081340303163</t>
  </si>
  <si>
    <t>Feb 27, 2025 - 23:57</t>
  </si>
  <si>
    <t>Farida Ngurawan</t>
  </si>
  <si>
    <t>081340764936</t>
  </si>
  <si>
    <t>Feb 13, 2025 - 19:07</t>
  </si>
  <si>
    <t>Sam</t>
  </si>
  <si>
    <t>081344982119</t>
  </si>
  <si>
    <t>Feb 27, 2025 - 08:19</t>
  </si>
  <si>
    <t>Padmi</t>
  </si>
  <si>
    <t>081346316920</t>
  </si>
  <si>
    <t>Feb 26, 2025 - 19:22</t>
  </si>
  <si>
    <t>muhammad mustofa</t>
  </si>
  <si>
    <t>081346486767</t>
  </si>
  <si>
    <t>Feb 26, 2025 - 10:20</t>
  </si>
  <si>
    <t>Herman Setiawan</t>
  </si>
  <si>
    <t>081347117971</t>
  </si>
  <si>
    <t>Feb 22, 2025 - 06:56</t>
  </si>
  <si>
    <t>Wafa Marie</t>
  </si>
  <si>
    <t>081348664748</t>
  </si>
  <si>
    <t>Feb 19, 2025 - 06:58</t>
  </si>
  <si>
    <t>Sri Rahayu</t>
  </si>
  <si>
    <t>081348806629</t>
  </si>
  <si>
    <t>Feb 21, 2025 - 15:24</t>
  </si>
  <si>
    <t>Dessy natalia</t>
  </si>
  <si>
    <t>081350999111</t>
  </si>
  <si>
    <t>Feb 17, 2025 - 18:23</t>
  </si>
  <si>
    <t>aminah</t>
  </si>
  <si>
    <t>081351650030</t>
  </si>
  <si>
    <t>Feb 12, 2025 - 06:08</t>
  </si>
  <si>
    <t>Budi</t>
  </si>
  <si>
    <t>081352455141</t>
  </si>
  <si>
    <t>Feb 16, 2025 - 10:15</t>
  </si>
  <si>
    <t>silfia</t>
  </si>
  <si>
    <t>081354738305</t>
  </si>
  <si>
    <t>Feb 13, 2025 - 07:52</t>
  </si>
  <si>
    <t>Dhedi</t>
  </si>
  <si>
    <t>081355671945</t>
  </si>
  <si>
    <t>Feb 26, 2025 - 22:32</t>
  </si>
  <si>
    <t>Dachrin Dachlan</t>
  </si>
  <si>
    <t>081356265807</t>
  </si>
  <si>
    <t>Feb 26, 2025 - 13:24</t>
  </si>
  <si>
    <t>Almarhumah ibu k</t>
  </si>
  <si>
    <t>081357163517</t>
  </si>
  <si>
    <t>Feb 22, 2025 - 04:39</t>
  </si>
  <si>
    <t>Supono</t>
  </si>
  <si>
    <t>081362632630</t>
  </si>
  <si>
    <t>Feb 28, 2025 - 09:10</t>
  </si>
  <si>
    <t>irdawati indri</t>
  </si>
  <si>
    <t>081363036030</t>
  </si>
  <si>
    <t>Feb 27, 2025 - 15:50</t>
  </si>
  <si>
    <t>081364737778</t>
  </si>
  <si>
    <t>Feb 28, 2025 - 07:35</t>
  </si>
  <si>
    <t>Lian Perdana</t>
  </si>
  <si>
    <t>081366856366</t>
  </si>
  <si>
    <t>Feb 28, 2025 - 06:25</t>
  </si>
  <si>
    <t>Benny</t>
  </si>
  <si>
    <t>081367214747</t>
  </si>
  <si>
    <t>Feb 08, 2025 - 06:11</t>
  </si>
  <si>
    <t>Enni merita</t>
  </si>
  <si>
    <t>081367270757</t>
  </si>
  <si>
    <t>Feb 23, 2025 - 20:00</t>
  </si>
  <si>
    <t>Mila</t>
  </si>
  <si>
    <t>081367746100</t>
  </si>
  <si>
    <t>Feb 27, 2025 - 06:03</t>
  </si>
  <si>
    <t>Fatia</t>
  </si>
  <si>
    <t>081369457157</t>
  </si>
  <si>
    <t>Feb 08, 2025 - 19:18</t>
  </si>
  <si>
    <t>Ibrahim</t>
  </si>
  <si>
    <t>081371283740</t>
  </si>
  <si>
    <t>Feb 19, 2025 - 19:43</t>
  </si>
  <si>
    <t>Edi Nordiman</t>
  </si>
  <si>
    <t>081372919479</t>
  </si>
  <si>
    <t>Feb 08, 2025 - 16:39</t>
  </si>
  <si>
    <t>Ira</t>
  </si>
  <si>
    <t>081374317879</t>
  </si>
  <si>
    <t>Feb 28, 2025 - 05:07</t>
  </si>
  <si>
    <t>Muklas</t>
  </si>
  <si>
    <t>081375570126</t>
  </si>
  <si>
    <t>Feb 12, 2025 - 21:56</t>
  </si>
  <si>
    <t>Rina Dalimunthe</t>
  </si>
  <si>
    <t>081376660500</t>
  </si>
  <si>
    <t>Feb 28, 2025 - 07:00</t>
  </si>
  <si>
    <t>Sondang Marulitua Simanungkalit</t>
  </si>
  <si>
    <t>081377414692</t>
  </si>
  <si>
    <t>Feb 26, 2025 - 21:41</t>
  </si>
  <si>
    <t>Latifah Alhamid</t>
  </si>
  <si>
    <t>081380121322</t>
  </si>
  <si>
    <t>Feb 19, 2025 - 03:08</t>
  </si>
  <si>
    <t>081380253333</t>
  </si>
  <si>
    <t>Feb 27, 2025 - 20:14</t>
  </si>
  <si>
    <t>Ernita Setyawati</t>
  </si>
  <si>
    <t>081380553318</t>
  </si>
  <si>
    <t>Feb 21, 2025 - 13:49</t>
  </si>
  <si>
    <t>Yeli Andriyani</t>
  </si>
  <si>
    <t>081381818001</t>
  </si>
  <si>
    <t>Feb 26, 2025 - 10:23</t>
  </si>
  <si>
    <t>081382048245</t>
  </si>
  <si>
    <t>Feb 13, 2025 - 07:30</t>
  </si>
  <si>
    <t>Rahmah</t>
  </si>
  <si>
    <t>081383377337</t>
  </si>
  <si>
    <t>Feb 11, 2025 - 07:50</t>
  </si>
  <si>
    <t>Tensa Sihnano</t>
  </si>
  <si>
    <t>081386207814</t>
  </si>
  <si>
    <t>Feb 23, 2025 - 06:44</t>
  </si>
  <si>
    <t>Hamba Alloh</t>
  </si>
  <si>
    <t>081388440494</t>
  </si>
  <si>
    <t>Feb 20, 2025 - 22:17</t>
  </si>
  <si>
    <t>Rosita ayu cahyani</t>
  </si>
  <si>
    <t>081389801183</t>
  </si>
  <si>
    <t>Feb 12, 2025 - 18:53</t>
  </si>
  <si>
    <t>Eka Helahatin Effendi</t>
  </si>
  <si>
    <t>081389944381</t>
  </si>
  <si>
    <t>Feb 28, 2025 - 06:15</t>
  </si>
  <si>
    <t>Hanif</t>
  </si>
  <si>
    <t>081390224830</t>
  </si>
  <si>
    <t>Feb 20, 2025 - 05:08</t>
  </si>
  <si>
    <t>081390899777</t>
  </si>
  <si>
    <t>Feb 19, 2025 - 06:15</t>
  </si>
  <si>
    <t>081391775594</t>
  </si>
  <si>
    <t>Feb 20, 2025 - 23:23</t>
  </si>
  <si>
    <t>Loka</t>
  </si>
  <si>
    <t>081516421200</t>
  </si>
  <si>
    <t>Feb 25, 2025 - 11:31</t>
  </si>
  <si>
    <t>Andi kiraman</t>
  </si>
  <si>
    <t>081524245898</t>
  </si>
  <si>
    <t>Feb 26, 2025 - 21:30</t>
  </si>
  <si>
    <t>Yusep Widodo bin setuyono</t>
  </si>
  <si>
    <t>081534154420</t>
  </si>
  <si>
    <t>Feb 20, 2025 - 13:23</t>
  </si>
  <si>
    <t>Ayahbunda</t>
  </si>
  <si>
    <t>08155098711</t>
  </si>
  <si>
    <t>Hilda Nurhayati</t>
  </si>
  <si>
    <t>081563439343</t>
  </si>
  <si>
    <t>Feb 14, 2025 - 18:28</t>
  </si>
  <si>
    <t>Risna Marlinda</t>
  </si>
  <si>
    <t>081575758058</t>
  </si>
  <si>
    <t>Feb 22, 2025 - 04:50</t>
  </si>
  <si>
    <t>yeti</t>
  </si>
  <si>
    <t>0816901195</t>
  </si>
  <si>
    <t>Feb 27, 2025 - 08:26</t>
  </si>
  <si>
    <t>Hamba Allah yang</t>
  </si>
  <si>
    <t>08171745817</t>
  </si>
  <si>
    <t>Feb 19, 2025 - 08:47</t>
  </si>
  <si>
    <t>hamba allah</t>
  </si>
  <si>
    <t>08176053306</t>
  </si>
  <si>
    <t>Feb 21, 2025 - 08:28</t>
  </si>
  <si>
    <t>Mira</t>
  </si>
  <si>
    <t>081808211775</t>
  </si>
  <si>
    <t>Feb 28, 2025 - 06:52</t>
  </si>
  <si>
    <t>ajeng</t>
  </si>
  <si>
    <t>0818840563</t>
  </si>
  <si>
    <t>Feb 01, 2025 - 10:00</t>
  </si>
  <si>
    <t>Oma mey</t>
  </si>
  <si>
    <t>0818891705</t>
  </si>
  <si>
    <t>Feb 27, 2025 - 16:18</t>
  </si>
  <si>
    <t>Dodo</t>
  </si>
  <si>
    <t>0818977011</t>
  </si>
  <si>
    <t>Feb 18, 2025 - 06:44</t>
  </si>
  <si>
    <t>Nasmin</t>
  </si>
  <si>
    <t>081904873420</t>
  </si>
  <si>
    <t>Feb 12, 2025 - 10:21</t>
  </si>
  <si>
    <t>Haikal</t>
  </si>
  <si>
    <t>081907157110</t>
  </si>
  <si>
    <t>Feb 22, 2025 - 17:46</t>
  </si>
  <si>
    <t>Ine Sentia</t>
  </si>
  <si>
    <t>081949422484</t>
  </si>
  <si>
    <t>Feb 21, 2025 - 09:37</t>
  </si>
  <si>
    <t>nadia permata elda</t>
  </si>
  <si>
    <t>08195937158</t>
  </si>
  <si>
    <t>SEDEKAH AIR BERSIH</t>
  </si>
  <si>
    <t>Feb 26, 2025 - 21:37</t>
  </si>
  <si>
    <t>Abah</t>
  </si>
  <si>
    <t>0819633451</t>
  </si>
  <si>
    <t>Feb 25, 2025 - 10:01</t>
  </si>
  <si>
    <t>Nafis fawaid</t>
  </si>
  <si>
    <t>081999393569</t>
  </si>
  <si>
    <t>Feb 18, 2025 - 13:11</t>
  </si>
  <si>
    <t>Wenia Yustishia binti Moh Kurniawan</t>
  </si>
  <si>
    <t>082113610310</t>
  </si>
  <si>
    <t>Feb 22, 2025 - 05:43</t>
  </si>
  <si>
    <t>082115328259</t>
  </si>
  <si>
    <t>Feb 27, 2025 - 06:39</t>
  </si>
  <si>
    <t>Sisilia Meilan</t>
  </si>
  <si>
    <t>082116111560</t>
  </si>
  <si>
    <t>Feb 28, 2025 - 05:16</t>
  </si>
  <si>
    <t>nn</t>
  </si>
  <si>
    <t>082122452540</t>
  </si>
  <si>
    <t>Feb 27, 2025 - 08:38</t>
  </si>
  <si>
    <t>Dito AP</t>
  </si>
  <si>
    <t>082128916232</t>
  </si>
  <si>
    <t>Feb 19, 2025 - 11:03</t>
  </si>
  <si>
    <t>safruddin timbi</t>
  </si>
  <si>
    <t>082130823585</t>
  </si>
  <si>
    <t>Feb 27, 2025 - 18:11</t>
  </si>
  <si>
    <t>Hana Eka dan Muhammad Harjuna</t>
  </si>
  <si>
    <t>082131362568</t>
  </si>
  <si>
    <t>Feb 18, 2025 - 04:36</t>
  </si>
  <si>
    <t>SELFI SOLICHATI</t>
  </si>
  <si>
    <t>082132248929</t>
  </si>
  <si>
    <t>Feb 20, 2025 - 16:20</t>
  </si>
  <si>
    <t>Nn</t>
  </si>
  <si>
    <t>082139837201</t>
  </si>
  <si>
    <t>Feb 20, 2025 - 04:55</t>
  </si>
  <si>
    <t>Lilik Herminingsih</t>
  </si>
  <si>
    <t>082140050962</t>
  </si>
  <si>
    <t>Feb 26, 2025 - 15:10</t>
  </si>
  <si>
    <t>Feb 28, 2025 - 05:32</t>
  </si>
  <si>
    <t>082140634738</t>
  </si>
  <si>
    <t>Feb 19, 2025 - 05:00</t>
  </si>
  <si>
    <t>ezra</t>
  </si>
  <si>
    <t>082140753089</t>
  </si>
  <si>
    <t>Feb 12, 2025 - 19:38</t>
  </si>
  <si>
    <t>Hingis Maryadi</t>
  </si>
  <si>
    <t>082143467331</t>
  </si>
  <si>
    <t>Feb 14, 2025 - 06:23</t>
  </si>
  <si>
    <t>SYAMI UN UBAIDILLAH</t>
  </si>
  <si>
    <t>082148318999</t>
  </si>
  <si>
    <t>Feb 28, 2025 - 07:45</t>
  </si>
  <si>
    <t>Ahmadin</t>
  </si>
  <si>
    <t>082151668918</t>
  </si>
  <si>
    <t>Feb 18, 2025 - 20:51</t>
  </si>
  <si>
    <t>Fitri</t>
  </si>
  <si>
    <t>082152490719</t>
  </si>
  <si>
    <t>Feb 21, 2025 - 11:56</t>
  </si>
  <si>
    <t>082157892336</t>
  </si>
  <si>
    <t>Feb 17, 2025 - 05:17</t>
  </si>
  <si>
    <t>082167613605</t>
  </si>
  <si>
    <t>Feb 12, 2025 - 20:07</t>
  </si>
  <si>
    <t>supiyani dollah</t>
  </si>
  <si>
    <t>082171332271</t>
  </si>
  <si>
    <t>Feb 14, 2025 - 05:37</t>
  </si>
  <si>
    <t>Anik Wuryani</t>
  </si>
  <si>
    <t>082173822828</t>
  </si>
  <si>
    <t>Feb 15, 2025 - 04:49</t>
  </si>
  <si>
    <t>Manha Dilshat Adfikhar</t>
  </si>
  <si>
    <t>082177847606</t>
  </si>
  <si>
    <t>Feb 19, 2025 - 10:38</t>
  </si>
  <si>
    <t>Umi kalsum</t>
  </si>
  <si>
    <t>082177965330</t>
  </si>
  <si>
    <t>Feb 21, 2025 - 17:48</t>
  </si>
  <si>
    <t>Magdalena</t>
  </si>
  <si>
    <t>082179759701</t>
  </si>
  <si>
    <t>Feb 26, 2025 - 15:22</t>
  </si>
  <si>
    <t>Ade sri wahyuni</t>
  </si>
  <si>
    <t>082179924298</t>
  </si>
  <si>
    <t>Feb 13, 2025 - 00:07</t>
  </si>
  <si>
    <t>Bungyadi Bungyadi</t>
  </si>
  <si>
    <t>082180000531</t>
  </si>
  <si>
    <t>Feb 28, 2025 - 03:26</t>
  </si>
  <si>
    <t>Sukriyati</t>
  </si>
  <si>
    <t>082180776932</t>
  </si>
  <si>
    <t>Feb 15, 2025 - 18:46</t>
  </si>
  <si>
    <t xml:space="preserve">Iskandar Sartini Babul Khair syamsiah </t>
  </si>
  <si>
    <t>082182367136</t>
  </si>
  <si>
    <t>Feb 12, 2025 - 07:46</t>
  </si>
  <si>
    <t>Suji</t>
  </si>
  <si>
    <t>082188392642</t>
  </si>
  <si>
    <t>Feb 26, 2025 - 21:40</t>
  </si>
  <si>
    <t>082198048117</t>
  </si>
  <si>
    <t>Feb 22, 2025 - 17:44</t>
  </si>
  <si>
    <t>Yasser Arafat Mochdar</t>
  </si>
  <si>
    <t>082198696530</t>
  </si>
  <si>
    <t>Feb 13, 2025 - 21:10</t>
  </si>
  <si>
    <t xml:space="preserve">Hamba ALLAH </t>
  </si>
  <si>
    <t>082199045134</t>
  </si>
  <si>
    <t>Feb 21, 2025 - 18:29</t>
  </si>
  <si>
    <t>Hj Cacce</t>
  </si>
  <si>
    <t>082199777717</t>
  </si>
  <si>
    <t>Feb 26, 2025 - 09:59</t>
  </si>
  <si>
    <t>Ipriyanto</t>
  </si>
  <si>
    <t>082213060277</t>
  </si>
  <si>
    <t>Feb 17, 2025 - 20:19</t>
  </si>
  <si>
    <t>M. Raihan</t>
  </si>
  <si>
    <t>082213280407</t>
  </si>
  <si>
    <t>Feb 20, 2025 - 01:24</t>
  </si>
  <si>
    <t>082213547327</t>
  </si>
  <si>
    <t>Feb 11, 2025 - 18:16</t>
  </si>
  <si>
    <t>Hasna</t>
  </si>
  <si>
    <t>082217703791</t>
  </si>
  <si>
    <t>Feb 13, 2025 - 20:04</t>
  </si>
  <si>
    <t>Ahmad Rifai</t>
  </si>
  <si>
    <t>082223503330</t>
  </si>
  <si>
    <t>Feb 20, 2025 - 17:35</t>
  </si>
  <si>
    <t>Marola</t>
  </si>
  <si>
    <t>082225889969</t>
  </si>
  <si>
    <t>Feb 21, 2025 - 04:04</t>
  </si>
  <si>
    <t>Alim</t>
  </si>
  <si>
    <t>082226769722</t>
  </si>
  <si>
    <t>Feb 18, 2025 - 05:31</t>
  </si>
  <si>
    <t>082239903917</t>
  </si>
  <si>
    <t>Feb 25, 2025 - 05:36</t>
  </si>
  <si>
    <t>Majid halid</t>
  </si>
  <si>
    <t>082245987026</t>
  </si>
  <si>
    <t>Feb 20, 2025 - 14:08</t>
  </si>
  <si>
    <t>Nuning regar</t>
  </si>
  <si>
    <t>082247364512</t>
  </si>
  <si>
    <t>Feb 19, 2025 - 12:01</t>
  </si>
  <si>
    <t>Hamba</t>
  </si>
  <si>
    <t>082247437601</t>
  </si>
  <si>
    <t>Feb 16, 2025 - 11:39</t>
  </si>
  <si>
    <t>Zuhdi gufron</t>
  </si>
  <si>
    <t>082248885727</t>
  </si>
  <si>
    <t>Feb 27, 2025 - 20:38</t>
  </si>
  <si>
    <t xml:space="preserve">Hamba Allaah </t>
  </si>
  <si>
    <t>082250832983</t>
  </si>
  <si>
    <t>Feb 20, 2025 - 16:05</t>
  </si>
  <si>
    <t>Jaya</t>
  </si>
  <si>
    <t>082252963848</t>
  </si>
  <si>
    <t>Feb 22, 2025 - 18:43</t>
  </si>
  <si>
    <t>Lisgina</t>
  </si>
  <si>
    <t>082254404915</t>
  </si>
  <si>
    <t>Feb 11, 2025 - 08:57</t>
  </si>
  <si>
    <t>Nadia</t>
  </si>
  <si>
    <t>082256389867</t>
  </si>
  <si>
    <t>Feb 27, 2025 - 05:30</t>
  </si>
  <si>
    <t xml:space="preserve">Fandi Ahmad </t>
  </si>
  <si>
    <t>082257188193</t>
  </si>
  <si>
    <t>BANTU RENOVASI TEMPAT IBADAH DI PELOSOK DESA</t>
  </si>
  <si>
    <t>Feb 24, 2025 - 13:42</t>
  </si>
  <si>
    <t>Hidayat</t>
  </si>
  <si>
    <t>082257805162</t>
  </si>
  <si>
    <t>Feb 26, 2025 - 05:26</t>
  </si>
  <si>
    <t>Betti sartika</t>
  </si>
  <si>
    <t>082267293880</t>
  </si>
  <si>
    <t>Feb 21, 2025 - 19:49</t>
  </si>
  <si>
    <t>082276665327</t>
  </si>
  <si>
    <t>Feb 27, 2025 - 13:35</t>
  </si>
  <si>
    <t>Tilawati</t>
  </si>
  <si>
    <t>082280315120</t>
  </si>
  <si>
    <t>Feb 11, 2025 - 20:17</t>
  </si>
  <si>
    <t>082281577483</t>
  </si>
  <si>
    <t>Feb 27, 2025 - 12:50</t>
  </si>
  <si>
    <t>082282081256</t>
  </si>
  <si>
    <t>Feb 26, 2025 - 16:24</t>
  </si>
  <si>
    <t>Linda</t>
  </si>
  <si>
    <t>082284875057</t>
  </si>
  <si>
    <t>Feb 13, 2025 - 08:34</t>
  </si>
  <si>
    <t>082285499848</t>
  </si>
  <si>
    <t>Feb 20, 2025 - 18:22</t>
  </si>
  <si>
    <t>Masriana</t>
  </si>
  <si>
    <t>082291217565</t>
  </si>
  <si>
    <t>Feb 24, 2025 - 07:58</t>
  </si>
  <si>
    <t>Asriana</t>
  </si>
  <si>
    <t>082291888260</t>
  </si>
  <si>
    <t>Feb 27, 2025 - 13:07</t>
  </si>
  <si>
    <t>Ridwan wali</t>
  </si>
  <si>
    <t>082293712159</t>
  </si>
  <si>
    <t>Feb 11, 2025 - 05:31</t>
  </si>
  <si>
    <t>irvan</t>
  </si>
  <si>
    <t>082299218864</t>
  </si>
  <si>
    <t>Feb 28, 2025 - 09:04</t>
  </si>
  <si>
    <t>MURSYIDAH</t>
  </si>
  <si>
    <t>082310178667</t>
  </si>
  <si>
    <t>Feb 25, 2025 - 09:09</t>
  </si>
  <si>
    <t>Hj. Naci</t>
  </si>
  <si>
    <t>082311510733</t>
  </si>
  <si>
    <t>Feb 11, 2025 - 09:46</t>
  </si>
  <si>
    <t>Suci</t>
  </si>
  <si>
    <t>082323177474</t>
  </si>
  <si>
    <t>Feb 28, 2025 - 07:09</t>
  </si>
  <si>
    <t>Lilik Kurniawati</t>
  </si>
  <si>
    <t>082330878413</t>
  </si>
  <si>
    <t>Feb 26, 2025 - 18:39</t>
  </si>
  <si>
    <t>Almarhum abah aban bunyamin</t>
  </si>
  <si>
    <t>082331111677</t>
  </si>
  <si>
    <t>Feb 10, 2025 - 21:31</t>
  </si>
  <si>
    <t>Suswati Sl</t>
  </si>
  <si>
    <t>082333939789</t>
  </si>
  <si>
    <t>Feb 14, 2025 - 11:25</t>
  </si>
  <si>
    <t>Sutrani Syarif</t>
  </si>
  <si>
    <t>082345670201</t>
  </si>
  <si>
    <t>Feb 24, 2025 - 06:58</t>
  </si>
  <si>
    <t>Agus irawan</t>
  </si>
  <si>
    <t>082354959991</t>
  </si>
  <si>
    <t>Feb 22, 2025 - 03:46</t>
  </si>
  <si>
    <t>Dhany</t>
  </si>
  <si>
    <t>082377242616</t>
  </si>
  <si>
    <t>Feb 21, 2025 - 21:50</t>
  </si>
  <si>
    <t>Dirga</t>
  </si>
  <si>
    <t>082378381111</t>
  </si>
  <si>
    <t>Feb 18, 2025 - 19:25</t>
  </si>
  <si>
    <t>Yuda rinaldo</t>
  </si>
  <si>
    <t>082391123622</t>
  </si>
  <si>
    <t>Feb 25, 2025 - 02:24</t>
  </si>
  <si>
    <t>Asrin Bin laria</t>
  </si>
  <si>
    <t>082393128925</t>
  </si>
  <si>
    <t>BANGUN KEMBALI PALESTINA</t>
  </si>
  <si>
    <t>Feb 28, 2025 - 18:23</t>
  </si>
  <si>
    <t>082398154048</t>
  </si>
  <si>
    <t>Feb 27, 2025 - 09:24</t>
  </si>
  <si>
    <t>RIDWAN ANSHARY MALAWAT</t>
  </si>
  <si>
    <t>082399956664</t>
  </si>
  <si>
    <t>Feb 09, 2025 - 19:41</t>
  </si>
  <si>
    <t>Akmaludin</t>
  </si>
  <si>
    <t>083141291848</t>
  </si>
  <si>
    <t>Feb 13, 2025 - 21:11</t>
  </si>
  <si>
    <t>Ahmad</t>
  </si>
  <si>
    <t>083178549240</t>
  </si>
  <si>
    <t>Feb 21, 2025 - 04:51</t>
  </si>
  <si>
    <t>Zea</t>
  </si>
  <si>
    <t>083186264616</t>
  </si>
  <si>
    <t>Feb 21, 2025 - 12:41</t>
  </si>
  <si>
    <t>08368767612</t>
  </si>
  <si>
    <t>Feb 20, 2025 - 12:11</t>
  </si>
  <si>
    <t>Akmal Khoirulloh Sukur</t>
  </si>
  <si>
    <t>083821092616</t>
  </si>
  <si>
    <t>Feb 08, 2025 - 20:50</t>
  </si>
  <si>
    <t>Moh Jamaludin</t>
  </si>
  <si>
    <t>083833083910</t>
  </si>
  <si>
    <t>Feb 28, 2025 - 05:18</t>
  </si>
  <si>
    <t xml:space="preserve">Hamba Alloh </t>
  </si>
  <si>
    <t>083845544566</t>
  </si>
  <si>
    <t>Feb 21, 2025 - 03:52</t>
  </si>
  <si>
    <t>Mr. J</t>
  </si>
  <si>
    <t>083870731257</t>
  </si>
  <si>
    <t>Feb 28, 2025 - 13:03</t>
  </si>
  <si>
    <t>Hesti</t>
  </si>
  <si>
    <t>083872191212</t>
  </si>
  <si>
    <t>Feb 16, 2025 - 10:20</t>
  </si>
  <si>
    <t>083877722513</t>
  </si>
  <si>
    <t>LUNASI HUTANG PUASA DENGAN BAYAR FIDYAH</t>
  </si>
  <si>
    <t>Feb 24, 2025 - 18:25</t>
  </si>
  <si>
    <t>arr</t>
  </si>
  <si>
    <t>08464646767</t>
  </si>
  <si>
    <t>Feb 26, 2025 - 06:20</t>
  </si>
  <si>
    <t>Lukman zammari</t>
  </si>
  <si>
    <t>085100915915</t>
  </si>
  <si>
    <t>Feb 22, 2025 - 09:06</t>
  </si>
  <si>
    <t>085103109850</t>
  </si>
  <si>
    <t>Feb 14, 2025 - 20:30</t>
  </si>
  <si>
    <t>Sarah Tasya</t>
  </si>
  <si>
    <t>085161122872</t>
  </si>
  <si>
    <t>Feb 11, 2025 - 05:33</t>
  </si>
  <si>
    <t>MARIANNE SHANDY ROSYA</t>
  </si>
  <si>
    <t>085173440109</t>
  </si>
  <si>
    <t>Feb 28, 2025 - 09:17</t>
  </si>
  <si>
    <t>Rahmat syamsu</t>
  </si>
  <si>
    <t>085175042044</t>
  </si>
  <si>
    <t>Feb 15, 2025 - 07:07</t>
  </si>
  <si>
    <t>Albar Oktaviansa</t>
  </si>
  <si>
    <t>085186897535</t>
  </si>
  <si>
    <t>Feb 20, 2025 - 06:25</t>
  </si>
  <si>
    <t>Nafisah</t>
  </si>
  <si>
    <t>085205205026</t>
  </si>
  <si>
    <t>Feb 18, 2025 - 18:34</t>
  </si>
  <si>
    <t>085205771033</t>
  </si>
  <si>
    <t>Feb 14, 2025 - 17:20</t>
  </si>
  <si>
    <t>Mulyawan</t>
  </si>
  <si>
    <t>085211290339</t>
  </si>
  <si>
    <t>Feb 21, 2025 - 11:33</t>
  </si>
  <si>
    <t>Ibuk rakmah</t>
  </si>
  <si>
    <t>085213418015</t>
  </si>
  <si>
    <t>Feb 10, 2025 - 19:24</t>
  </si>
  <si>
    <t>Rasyidi</t>
  </si>
  <si>
    <t>085216898974</t>
  </si>
  <si>
    <t>Feb 15, 2025 - 18:58</t>
  </si>
  <si>
    <t>Budi Hartono</t>
  </si>
  <si>
    <t>085221915802</t>
  </si>
  <si>
    <t>Feb 14, 2025 - 17:59</t>
  </si>
  <si>
    <t>Dessy Daswati</t>
  </si>
  <si>
    <t>085222542740</t>
  </si>
  <si>
    <t>Feb 19, 2025 - 06:32</t>
  </si>
  <si>
    <t>PLASAMALL</t>
  </si>
  <si>
    <t>Mochamad Muri</t>
  </si>
  <si>
    <t>085230338134</t>
  </si>
  <si>
    <t>Feb 28, 2025 - 11:42</t>
  </si>
  <si>
    <t>Joannes Sidarta</t>
  </si>
  <si>
    <t>085230643066</t>
  </si>
  <si>
    <t>Feb 26, 2025 - 05:42</t>
  </si>
  <si>
    <t>Feb 21, 2025 - 11:17</t>
  </si>
  <si>
    <t>Umi warsih</t>
  </si>
  <si>
    <t>085246189950</t>
  </si>
  <si>
    <t>Feb 14, 2025 - 09:34</t>
  </si>
  <si>
    <t>Miftahul</t>
  </si>
  <si>
    <t>085249089966</t>
  </si>
  <si>
    <t>Feb 23, 2025 - 21:00</t>
  </si>
  <si>
    <t>Desty Triastuti</t>
  </si>
  <si>
    <t>085252213886</t>
  </si>
  <si>
    <t>Feb 21, 2025 - 09:29</t>
  </si>
  <si>
    <t>Hmba ALLAH</t>
  </si>
  <si>
    <t>085254325987</t>
  </si>
  <si>
    <t>Feb 27, 2025 - 19:40</t>
  </si>
  <si>
    <t>Ardhita</t>
  </si>
  <si>
    <t>085255165095</t>
  </si>
  <si>
    <t>Feb 27, 2025 - 04:53</t>
  </si>
  <si>
    <t>085263109109</t>
  </si>
  <si>
    <t>Feb 14, 2025 - 00:37</t>
  </si>
  <si>
    <t>Nazirin</t>
  </si>
  <si>
    <t>085266565410</t>
  </si>
  <si>
    <t>Feb 18, 2025 - 08:23</t>
  </si>
  <si>
    <t>Devi Agustina</t>
  </si>
  <si>
    <t>085269479043</t>
  </si>
  <si>
    <t>Feb 16, 2025 - 09:12</t>
  </si>
  <si>
    <t>Andriyansyah</t>
  </si>
  <si>
    <t>085273229377</t>
  </si>
  <si>
    <t>Feb 12, 2025 - 17:56</t>
  </si>
  <si>
    <t>Yudi Eka putra</t>
  </si>
  <si>
    <t>085274099900</t>
  </si>
  <si>
    <t>Feb 19, 2025 - 09:25</t>
  </si>
  <si>
    <t>Mar Yam</t>
  </si>
  <si>
    <t>085277899244</t>
  </si>
  <si>
    <t>Feb 13, 2025 - 17:17</t>
  </si>
  <si>
    <t>085293253064</t>
  </si>
  <si>
    <t>Feb 16, 2025 - 07:24</t>
  </si>
  <si>
    <t>Irma Wati</t>
  </si>
  <si>
    <t>085299152346</t>
  </si>
  <si>
    <t>Feb 27, 2025 - 20:12</t>
  </si>
  <si>
    <t>Pak Sumarlin</t>
  </si>
  <si>
    <t>085314089645</t>
  </si>
  <si>
    <t>Feb 13, 2025 - 16:49</t>
  </si>
  <si>
    <t>Andry Dwi afriadi</t>
  </si>
  <si>
    <t>085316287828</t>
  </si>
  <si>
    <t>Feb 24, 2025 - 21:17</t>
  </si>
  <si>
    <t>Ryencca Putri aprillyna</t>
  </si>
  <si>
    <t>085335352629</t>
  </si>
  <si>
    <t>Feb 23, 2025 - 16:26</t>
  </si>
  <si>
    <t>Asraruddin</t>
  </si>
  <si>
    <t>085338528200</t>
  </si>
  <si>
    <t>Feb 14, 2025 - 21:03</t>
  </si>
  <si>
    <t>Parjono</t>
  </si>
  <si>
    <t>085339800797</t>
  </si>
  <si>
    <t>Feb 21, 2025 - 05:09</t>
  </si>
  <si>
    <t>Rama</t>
  </si>
  <si>
    <t>085341855576</t>
  </si>
  <si>
    <t>Feb 14, 2025 - 06:14</t>
  </si>
  <si>
    <t>Bunari</t>
  </si>
  <si>
    <t>085346812448</t>
  </si>
  <si>
    <t>Feb 14, 2025 - 10:27</t>
  </si>
  <si>
    <t xml:space="preserve">Ghina </t>
  </si>
  <si>
    <t>085347442606</t>
  </si>
  <si>
    <t>Feb 01, 2025 - 18:00</t>
  </si>
  <si>
    <t>Muliadi</t>
  </si>
  <si>
    <t>085355183517</t>
  </si>
  <si>
    <t>Feb 19, 2025 - 05:48</t>
  </si>
  <si>
    <t>Dirgha</t>
  </si>
  <si>
    <t>085363899598</t>
  </si>
  <si>
    <t>Feb 27, 2025 - 21:07</t>
  </si>
  <si>
    <t>Desti Widya Astuti</t>
  </si>
  <si>
    <t>085380584567</t>
  </si>
  <si>
    <t>Feb 27, 2025 - 09:46</t>
  </si>
  <si>
    <t>Hamba alloh</t>
  </si>
  <si>
    <t>085388537545</t>
  </si>
  <si>
    <t>Feb 26, 2025 - 14:26</t>
  </si>
  <si>
    <t>Suhaimi Bin Sabirin</t>
  </si>
  <si>
    <t>085390360016</t>
  </si>
  <si>
    <t>Feb 26, 2025 - 05:53</t>
  </si>
  <si>
    <t>Hamba Allah 91</t>
  </si>
  <si>
    <t>085391218787</t>
  </si>
  <si>
    <t>Feb 26, 2025 - 05:21</t>
  </si>
  <si>
    <t>Ella Octafia</t>
  </si>
  <si>
    <t>08539311752</t>
  </si>
  <si>
    <t>Feb 25, 2025 - 05:30</t>
  </si>
  <si>
    <t>Andi Yusham</t>
  </si>
  <si>
    <t>085396007698</t>
  </si>
  <si>
    <t>Feb 26, 2025 - 11:42</t>
  </si>
  <si>
    <t>Wahyudir Kadir</t>
  </si>
  <si>
    <t>085398348543</t>
  </si>
  <si>
    <t>Feb 25, 2025 - 12:15</t>
  </si>
  <si>
    <t>Haeruddin</t>
  </si>
  <si>
    <t>085399619190</t>
  </si>
  <si>
    <t>Feb 23, 2025 - 17:56</t>
  </si>
  <si>
    <t>085542424242</t>
  </si>
  <si>
    <t>Feb 26, 2025 - 08:53</t>
  </si>
  <si>
    <t>Muhammad F</t>
  </si>
  <si>
    <t>08561889392</t>
  </si>
  <si>
    <t>Feb 20, 2025 - 06:02</t>
  </si>
  <si>
    <t>Sutami</t>
  </si>
  <si>
    <t>08562903376</t>
  </si>
  <si>
    <t>Feb 17, 2025 - 18:48</t>
  </si>
  <si>
    <t>ghozal faozi</t>
  </si>
  <si>
    <t>085641946508</t>
  </si>
  <si>
    <t>Feb 14, 2025 - 17:07</t>
  </si>
  <si>
    <t>0856464646</t>
  </si>
  <si>
    <t>Feb 13, 2025 - 19:02</t>
  </si>
  <si>
    <t>Feb 07, 2025 - 13:14</t>
  </si>
  <si>
    <t>Erwin Aprilyanto</t>
  </si>
  <si>
    <t>085647495353</t>
  </si>
  <si>
    <t>Feb 21, 2025 - 15:06</t>
  </si>
  <si>
    <t>085647969696</t>
  </si>
  <si>
    <t>Feb 27, 2025 - 10:13</t>
  </si>
  <si>
    <t>rika rahayu</t>
  </si>
  <si>
    <t>085700900907</t>
  </si>
  <si>
    <t>Feb 13, 2025 - 21:02</t>
  </si>
  <si>
    <t>Yasmin</t>
  </si>
  <si>
    <t>085707575935</t>
  </si>
  <si>
    <t>Feb 14, 2025 - 11:08</t>
  </si>
  <si>
    <t>085710169661</t>
  </si>
  <si>
    <t>Feb 19, 2025 - 05:31</t>
  </si>
  <si>
    <t>Isna athiyah</t>
  </si>
  <si>
    <t>085711735110</t>
  </si>
  <si>
    <t>Feb 19, 2025 - 17:38</t>
  </si>
  <si>
    <t>Tata</t>
  </si>
  <si>
    <t>085724220993</t>
  </si>
  <si>
    <t>Feb 07, 2025 - 11:31</t>
  </si>
  <si>
    <t>Elia</t>
  </si>
  <si>
    <t>085725244517</t>
  </si>
  <si>
    <t>Feb 21, 2025 - 10:48</t>
  </si>
  <si>
    <t>Feb 03, 2025 - 10:21</t>
  </si>
  <si>
    <t>085730848320</t>
  </si>
  <si>
    <t>Feb 13, 2025 - 07:27</t>
  </si>
  <si>
    <t>Rachmat Subagyo</t>
  </si>
  <si>
    <t>085741800473</t>
  </si>
  <si>
    <t>Feb 23, 2025 - 18:53</t>
  </si>
  <si>
    <t>085751332610</t>
  </si>
  <si>
    <t>Feb 13, 2025 - 10:51</t>
  </si>
  <si>
    <t>Tini Kustini</t>
  </si>
  <si>
    <t>0857592222676</t>
  </si>
  <si>
    <t>Feb 06, 2025 - 01:01</t>
  </si>
  <si>
    <t>085759222676</t>
  </si>
  <si>
    <t>Feb 07, 2025 - 11:36</t>
  </si>
  <si>
    <t>Roichana yasmin</t>
  </si>
  <si>
    <t>085764289869</t>
  </si>
  <si>
    <t>Feb 06, 2025 - 20:13</t>
  </si>
  <si>
    <t>Abinawanto</t>
  </si>
  <si>
    <t>085770247255</t>
  </si>
  <si>
    <t>Feb 11, 2025 - 06:13</t>
  </si>
  <si>
    <t>mifta</t>
  </si>
  <si>
    <t>085774710927</t>
  </si>
  <si>
    <t>Adel andriani</t>
  </si>
  <si>
    <t>0857764201573</t>
  </si>
  <si>
    <t>Feb 28, 2025 - 04:44</t>
  </si>
  <si>
    <t xml:space="preserve">Siti khasanah </t>
  </si>
  <si>
    <t>085783182351</t>
  </si>
  <si>
    <t>Feb 27, 2025 - 18:10</t>
  </si>
  <si>
    <t>085788063850</t>
  </si>
  <si>
    <t>Feb 20, 2025 - 16:41</t>
  </si>
  <si>
    <t>Roni Ferdiansyah</t>
  </si>
  <si>
    <t>085804776731</t>
  </si>
  <si>
    <t>Feb 21, 2025 - 05:03</t>
  </si>
  <si>
    <t>Ida</t>
  </si>
  <si>
    <t>085821792699</t>
  </si>
  <si>
    <t>Feb 13, 2025 - 21:42</t>
  </si>
  <si>
    <t>Khairan Dzaki</t>
  </si>
  <si>
    <t>085832660993</t>
  </si>
  <si>
    <t>Feb 28, 2025 - 17:16</t>
  </si>
  <si>
    <t>Septian yama w</t>
  </si>
  <si>
    <t>085876544321</t>
  </si>
  <si>
    <t>Feb 26, 2025 - 05:08</t>
  </si>
  <si>
    <t>085883667665</t>
  </si>
  <si>
    <t>SEDEKAH HARIAN</t>
  </si>
  <si>
    <t>Feb 20, 2025 - 05:36</t>
  </si>
  <si>
    <t>Kristiana Diana Marhasan</t>
  </si>
  <si>
    <t>085961478400</t>
  </si>
  <si>
    <t>Feb 08, 2025 - 21:13</t>
  </si>
  <si>
    <t>Fatrina</t>
  </si>
  <si>
    <t>087720877772</t>
  </si>
  <si>
    <t>Feb 16, 2025 - 04:46</t>
  </si>
  <si>
    <t>Del</t>
  </si>
  <si>
    <t>087722348998</t>
  </si>
  <si>
    <t>Feb 27, 2025 - 06:49</t>
  </si>
  <si>
    <t>Muhammad Rizki</t>
  </si>
  <si>
    <t>087770297904</t>
  </si>
  <si>
    <t>Feb 14, 2025 - 03:19</t>
  </si>
  <si>
    <t>087770521974</t>
  </si>
  <si>
    <t>Feb 12, 2025 - 07:00</t>
  </si>
  <si>
    <t>Muhamad Nur Ikhsan Ichan Bubble</t>
  </si>
  <si>
    <t>087772234445</t>
  </si>
  <si>
    <t>Feb 20, 2025 - 06:58</t>
  </si>
  <si>
    <t>Yuli</t>
  </si>
  <si>
    <t>087777614418</t>
  </si>
  <si>
    <t>Feb 14, 2025 - 08:55</t>
  </si>
  <si>
    <t>Ariq Fadhlurrahman Rahardjo</t>
  </si>
  <si>
    <t>087778070960</t>
  </si>
  <si>
    <t>Feb 21, 2025 - 06:50</t>
  </si>
  <si>
    <t>Nurul mutmainah</t>
  </si>
  <si>
    <t>087815991815</t>
  </si>
  <si>
    <t>Feb 14, 2025 - 04:20</t>
  </si>
  <si>
    <t>Siti fatimah</t>
  </si>
  <si>
    <t>087817831744</t>
  </si>
  <si>
    <t>Feb 27, 2025 - 07:44</t>
  </si>
  <si>
    <t>Nna</t>
  </si>
  <si>
    <t>087821827277</t>
  </si>
  <si>
    <t>Feb 14, 2025 - 17:46</t>
  </si>
  <si>
    <t>Farida Andayani</t>
  </si>
  <si>
    <t>087822309452</t>
  </si>
  <si>
    <t>Feb 26, 2025 - 01:18</t>
  </si>
  <si>
    <t>087828681271</t>
  </si>
  <si>
    <t>Feb 23, 2025 - 18:05</t>
  </si>
  <si>
    <t>Kholid yuniarto</t>
  </si>
  <si>
    <t>087832566694</t>
  </si>
  <si>
    <t>Feb 25, 2025 - 06:43</t>
  </si>
  <si>
    <t>Feb 25, 2025 - 05:24</t>
  </si>
  <si>
    <t>Syahrul Mubarok</t>
  </si>
  <si>
    <t>087884470580</t>
  </si>
  <si>
    <t>Feb 22, 2025 - 19:26</t>
  </si>
  <si>
    <t>087885265379</t>
  </si>
  <si>
    <t>Feb 16, 2025 - 17:16</t>
  </si>
  <si>
    <t>Tita Dasawarsita</t>
  </si>
  <si>
    <t>087888967444</t>
  </si>
  <si>
    <t>0881080163737</t>
  </si>
  <si>
    <t>Feb 12, 2025 - 07:58</t>
  </si>
  <si>
    <t>Dzati Bayani</t>
  </si>
  <si>
    <t>08811238640</t>
  </si>
  <si>
    <t>Feb 19, 2025 - 17:43</t>
  </si>
  <si>
    <t>Yuli Ani</t>
  </si>
  <si>
    <t>08812276843</t>
  </si>
  <si>
    <t>Feb 13, 2025 - 20:08</t>
  </si>
  <si>
    <t>Maryani</t>
  </si>
  <si>
    <t>088211351869</t>
  </si>
  <si>
    <t>Feb 14, 2025 - 04:22</t>
  </si>
  <si>
    <t>Ahmad agung gumelar</t>
  </si>
  <si>
    <t>088232281880</t>
  </si>
  <si>
    <t>Feb 16, 2025 - 13:37</t>
  </si>
  <si>
    <t>dwi waluyo</t>
  </si>
  <si>
    <t>08872049628</t>
  </si>
  <si>
    <t>Feb 14, 2025 - 05:47</t>
  </si>
  <si>
    <t>H</t>
  </si>
  <si>
    <t>08888888888</t>
  </si>
  <si>
    <t>Feb 18, 2025 - 05:10</t>
  </si>
  <si>
    <t>08888888888888</t>
  </si>
  <si>
    <t>Feb 14, 2025 - 06:08</t>
  </si>
  <si>
    <t>O</t>
  </si>
  <si>
    <t>088989733075</t>
  </si>
  <si>
    <t>Feb 14, 2025 - 02:04</t>
  </si>
  <si>
    <t>Sylvi</t>
  </si>
  <si>
    <t>089505746932</t>
  </si>
  <si>
    <t>Feb 14, 2025 - 05:06</t>
  </si>
  <si>
    <t>089518858839</t>
  </si>
  <si>
    <t>Feb 14, 2025 - 11:37</t>
  </si>
  <si>
    <t>Akmal</t>
  </si>
  <si>
    <t>089522810022</t>
  </si>
  <si>
    <t>Feb 12, 2025 - 18:07</t>
  </si>
  <si>
    <t>Omega</t>
  </si>
  <si>
    <t>089531993772</t>
  </si>
  <si>
    <t>Feb 27, 2025 - 12:58</t>
  </si>
  <si>
    <t>Palupi Cahyaning Ratri</t>
  </si>
  <si>
    <t>0895366235344</t>
  </si>
  <si>
    <t>Feb 15, 2025 - 20:56</t>
  </si>
  <si>
    <t>Maria ulfa</t>
  </si>
  <si>
    <t>0895397213725</t>
  </si>
  <si>
    <t>Feb 22, 2025 - 05:45</t>
  </si>
  <si>
    <t>Amel</t>
  </si>
  <si>
    <t>089613862141</t>
  </si>
  <si>
    <t>Feb 07, 2025 - 12:03</t>
  </si>
  <si>
    <t>Arsy</t>
  </si>
  <si>
    <t>089624719574</t>
  </si>
  <si>
    <t>Feb 21, 2025 - 20:10</t>
  </si>
  <si>
    <t>Imron</t>
  </si>
  <si>
    <t>089684093269</t>
  </si>
  <si>
    <t>rizki</t>
  </si>
  <si>
    <t>089686783540</t>
  </si>
  <si>
    <t>Feb 19, 2025 - 09:57</t>
  </si>
  <si>
    <t>B</t>
  </si>
  <si>
    <t>08983760015</t>
  </si>
  <si>
    <t>Feb 17, 2025 - 10:16</t>
  </si>
  <si>
    <t>Rudy</t>
  </si>
  <si>
    <t>08999056016</t>
  </si>
  <si>
    <t>Feb 24, 2025 - 12:11</t>
  </si>
  <si>
    <t>Udin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</si>
</sst>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_(* #,##0.00_);_(* \(#,##0.00\);_(* &quot;-&quot;??_);_(@_)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15" fontId="0" fillId="0" borderId="1" xfId="0" applyNumberFormat="1" applyBorder="1"/>
    <xf numFmtId="0" fontId="1" fillId="2" borderId="1" xfId="0" applyFont="1" applyFill="1" applyBorder="1" applyAlignment="1">
      <alignment horizontal="center"/>
    </xf>
    <xf numFmtId="0" fontId="0" fillId="2" borderId="1" xfId="0" applyFill="1" applyBorder="1"/>
    <xf numFmtId="15" fontId="0" fillId="2" borderId="1" xfId="0" applyNumberFormat="1" applyFill="1" applyBorder="1"/>
    <xf numFmtId="0" fontId="0" fillId="2" borderId="0" xfId="0" applyFill="1"/>
    <xf numFmtId="165" fontId="0" fillId="0" borderId="0" xfId="1" applyNumberFormat="1" applyFont="1"/>
    <xf numFmtId="165" fontId="1" fillId="0" borderId="1" xfId="1" applyNumberFormat="1" applyFont="1" applyBorder="1" applyAlignment="1">
      <alignment horizontal="center"/>
    </xf>
    <xf numFmtId="165" fontId="0" fillId="0" borderId="1" xfId="1" applyNumberFormat="1" applyFont="1" applyBorder="1"/>
    <xf numFmtId="165" fontId="0" fillId="2" borderId="1" xfId="1" applyNumberFormat="1" applyFont="1" applyFill="1" applyBorder="1"/>
    <xf numFmtId="0" fontId="0" fillId="3" borderId="0" xfId="0" applyFill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65" fontId="1" fillId="0" borderId="5" xfId="1" applyNumberFormat="1" applyFont="1" applyBorder="1" applyAlignment="1">
      <alignment horizontal="center" vertical="center"/>
    </xf>
    <xf numFmtId="165" fontId="1" fillId="0" borderId="6" xfId="1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0" xfId="0" applyFill="1"/>
    <xf numFmtId="165" fontId="0" fillId="0" borderId="0" xfId="1" applyNumberFormat="1" applyFont="1" applyFill="1"/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165" fontId="1" fillId="0" borderId="1" xfId="1" applyNumberFormat="1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4" borderId="1" xfId="0" applyFill="1" applyBorder="1"/>
    <xf numFmtId="0" fontId="0" fillId="4" borderId="0" xfId="0" applyFill="1"/>
    <xf numFmtId="15" fontId="0" fillId="4" borderId="1" xfId="0" applyNumberFormat="1" applyFill="1" applyBorder="1"/>
    <xf numFmtId="165" fontId="0" fillId="4" borderId="1" xfId="1" applyNumberFormat="1" applyFont="1" applyFill="1" applyBorder="1"/>
    <xf numFmtId="41" fontId="0" fillId="0" borderId="0" xfId="2" applyFont="1" applyFill="1"/>
    <xf numFmtId="41" fontId="1" fillId="0" borderId="1" xfId="2" applyFont="1" applyFill="1" applyBorder="1" applyAlignment="1">
      <alignment horizontal="center"/>
    </xf>
    <xf numFmtId="41" fontId="0" fillId="4" borderId="1" xfId="2" applyFont="1" applyFill="1" applyBorder="1"/>
    <xf numFmtId="0" fontId="0" fillId="5" borderId="0" xfId="0" applyFill="1"/>
    <xf numFmtId="0" fontId="1" fillId="0" borderId="1" xfId="0" applyFont="1" applyFill="1" applyBorder="1" applyAlignment="1">
      <alignment horizontal="center"/>
    </xf>
    <xf numFmtId="165" fontId="1" fillId="0" borderId="1" xfId="1" applyNumberFormat="1" applyFont="1" applyFill="1" applyBorder="1" applyAlignment="1">
      <alignment horizontal="center" vertical="center"/>
    </xf>
    <xf numFmtId="0" fontId="0" fillId="5" borderId="1" xfId="0" applyFill="1" applyBorder="1"/>
    <xf numFmtId="165" fontId="0" fillId="5" borderId="1" xfId="1" applyNumberFormat="1" applyFont="1" applyFill="1" applyBorder="1"/>
    <xf numFmtId="41" fontId="0" fillId="5" borderId="1" xfId="2" applyFont="1" applyFill="1" applyBorder="1"/>
  </cellXfs>
  <cellStyles count="3">
    <cellStyle name="Comma" xfId="1" builtinId="3"/>
    <cellStyle name="Comma [0]" xfId="2" builtinId="6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H22"/>
  <sheetViews>
    <sheetView zoomScaleNormal="100" workbookViewId="0">
      <pane xSplit="4" ySplit="11" topLeftCell="E12" activePane="bottomRight" state="frozen"/>
      <selection pane="topRight" activeCell="E1" sqref="E1"/>
      <selection pane="bottomLeft" activeCell="A3" sqref="A3"/>
      <selection pane="bottomRight" activeCell="H31" sqref="H31"/>
    </sheetView>
  </sheetViews>
  <sheetFormatPr defaultRowHeight="15" x14ac:dyDescent="0.25"/>
  <cols>
    <col min="1" max="1" width="5.5703125" customWidth="1"/>
    <col min="2" max="2" width="20.42578125" customWidth="1"/>
    <col min="3" max="3" width="14.28515625" customWidth="1"/>
    <col min="4" max="7" width="22.140625" customWidth="1"/>
    <col min="8" max="8" width="18.85546875" customWidth="1"/>
    <col min="9" max="9" width="12.5703125" style="9" customWidth="1"/>
    <col min="10" max="11" width="12.5703125" customWidth="1"/>
    <col min="12" max="15" width="12.5703125" style="8" customWidth="1"/>
    <col min="16" max="19" width="12.5703125" customWidth="1"/>
    <col min="20" max="20" width="15" style="8" bestFit="1" customWidth="1"/>
    <col min="21" max="23" width="12.5703125" style="8" customWidth="1"/>
    <col min="24" max="27" width="12.5703125" customWidth="1"/>
    <col min="28" max="31" width="12.5703125" style="8" customWidth="1"/>
    <col min="32" max="32" width="15" bestFit="1" customWidth="1"/>
    <col min="33" max="33" width="12.5703125" style="9" customWidth="1"/>
    <col min="34" max="35" width="12.5703125" customWidth="1"/>
    <col min="36" max="39" width="12.5703125" style="8" customWidth="1"/>
    <col min="40" max="43" width="12.5703125" customWidth="1"/>
    <col min="44" max="47" width="12.5703125" style="8" customWidth="1"/>
    <col min="48" max="51" width="12.5703125" customWidth="1"/>
    <col min="52" max="55" width="12.5703125" style="8" customWidth="1"/>
    <col min="56" max="56" width="16.85546875" style="9" customWidth="1"/>
    <col min="57" max="57" width="14.28515625" customWidth="1"/>
    <col min="58" max="58" width="13" style="9" customWidth="1"/>
    <col min="59" max="59" width="20.28515625" customWidth="1"/>
    <col min="60" max="60" width="18" customWidth="1"/>
  </cols>
  <sheetData>
    <row r="3" spans="1:60" x14ac:dyDescent="0.25">
      <c r="BG3" t="s">
        <v>42</v>
      </c>
    </row>
    <row r="4" spans="1:60" x14ac:dyDescent="0.25">
      <c r="BG4" t="s">
        <v>43</v>
      </c>
    </row>
    <row r="5" spans="1:60" x14ac:dyDescent="0.25">
      <c r="BG5" t="s">
        <v>44</v>
      </c>
    </row>
    <row r="8" spans="1:60" x14ac:dyDescent="0.25">
      <c r="B8" t="s">
        <v>46</v>
      </c>
    </row>
    <row r="9" spans="1:60" x14ac:dyDescent="0.25">
      <c r="BG9" t="s">
        <v>27</v>
      </c>
      <c r="BH9">
        <v>9</v>
      </c>
    </row>
    <row r="10" spans="1:60" x14ac:dyDescent="0.25">
      <c r="A10" s="22" t="s">
        <v>0</v>
      </c>
      <c r="B10" s="22" t="s">
        <v>1</v>
      </c>
      <c r="C10" s="22" t="s">
        <v>5</v>
      </c>
      <c r="D10" s="22" t="s">
        <v>4</v>
      </c>
      <c r="E10" s="23" t="s">
        <v>50</v>
      </c>
      <c r="F10" s="23" t="s">
        <v>48</v>
      </c>
      <c r="G10" s="23" t="s">
        <v>47</v>
      </c>
      <c r="H10" s="17" t="s">
        <v>6</v>
      </c>
      <c r="I10" s="18"/>
      <c r="J10" s="18"/>
      <c r="K10" s="19"/>
      <c r="L10" s="14" t="s">
        <v>17</v>
      </c>
      <c r="M10" s="15"/>
      <c r="N10" s="15"/>
      <c r="O10" s="16"/>
      <c r="P10" s="17" t="s">
        <v>18</v>
      </c>
      <c r="Q10" s="18"/>
      <c r="R10" s="18"/>
      <c r="S10" s="19"/>
      <c r="T10" s="14" t="s">
        <v>19</v>
      </c>
      <c r="U10" s="15"/>
      <c r="V10" s="15"/>
      <c r="W10" s="16"/>
      <c r="X10" s="17" t="s">
        <v>20</v>
      </c>
      <c r="Y10" s="18"/>
      <c r="Z10" s="18"/>
      <c r="AA10" s="19"/>
      <c r="AB10" s="14" t="s">
        <v>21</v>
      </c>
      <c r="AC10" s="15"/>
      <c r="AD10" s="15"/>
      <c r="AE10" s="16"/>
      <c r="AF10" s="17" t="s">
        <v>22</v>
      </c>
      <c r="AG10" s="18"/>
      <c r="AH10" s="18"/>
      <c r="AI10" s="19"/>
      <c r="AJ10" s="14" t="s">
        <v>23</v>
      </c>
      <c r="AK10" s="15"/>
      <c r="AL10" s="15"/>
      <c r="AM10" s="16"/>
      <c r="AN10" s="17" t="s">
        <v>7</v>
      </c>
      <c r="AO10" s="18"/>
      <c r="AP10" s="18"/>
      <c r="AQ10" s="19"/>
      <c r="AR10" s="14" t="s">
        <v>24</v>
      </c>
      <c r="AS10" s="15"/>
      <c r="AT10" s="15"/>
      <c r="AU10" s="16"/>
      <c r="AV10" s="17" t="s">
        <v>25</v>
      </c>
      <c r="AW10" s="18"/>
      <c r="AX10" s="18"/>
      <c r="AY10" s="19"/>
      <c r="AZ10" s="14" t="s">
        <v>26</v>
      </c>
      <c r="BA10" s="15"/>
      <c r="BB10" s="15"/>
      <c r="BC10" s="16"/>
      <c r="BD10" s="20" t="s">
        <v>8</v>
      </c>
      <c r="BE10" s="23" t="s">
        <v>9</v>
      </c>
      <c r="BF10" s="20" t="s">
        <v>10</v>
      </c>
      <c r="BG10" s="23" t="s">
        <v>11</v>
      </c>
      <c r="BH10" s="22" t="s">
        <v>13</v>
      </c>
    </row>
    <row r="11" spans="1:60" s="1" customFormat="1" x14ac:dyDescent="0.25">
      <c r="A11" s="22"/>
      <c r="B11" s="22"/>
      <c r="C11" s="22"/>
      <c r="D11" s="22"/>
      <c r="E11" s="24"/>
      <c r="F11" s="24"/>
      <c r="G11" s="24"/>
      <c r="H11" s="3" t="s">
        <v>3</v>
      </c>
      <c r="I11" s="10" t="s">
        <v>2</v>
      </c>
      <c r="J11" s="3" t="s">
        <v>14</v>
      </c>
      <c r="K11" s="3" t="s">
        <v>12</v>
      </c>
      <c r="L11" s="5" t="s">
        <v>3</v>
      </c>
      <c r="M11" s="5" t="s">
        <v>2</v>
      </c>
      <c r="N11" s="5" t="s">
        <v>14</v>
      </c>
      <c r="O11" s="5" t="s">
        <v>12</v>
      </c>
      <c r="P11" s="3" t="s">
        <v>3</v>
      </c>
      <c r="Q11" s="3" t="s">
        <v>2</v>
      </c>
      <c r="R11" s="3" t="s">
        <v>14</v>
      </c>
      <c r="S11" s="3" t="s">
        <v>12</v>
      </c>
      <c r="T11" s="5" t="s">
        <v>3</v>
      </c>
      <c r="U11" s="5" t="s">
        <v>2</v>
      </c>
      <c r="V11" s="5" t="s">
        <v>14</v>
      </c>
      <c r="W11" s="5" t="s">
        <v>12</v>
      </c>
      <c r="X11" s="3" t="s">
        <v>3</v>
      </c>
      <c r="Y11" s="3" t="s">
        <v>2</v>
      </c>
      <c r="Z11" s="3" t="s">
        <v>14</v>
      </c>
      <c r="AA11" s="3" t="s">
        <v>12</v>
      </c>
      <c r="AB11" s="5" t="s">
        <v>3</v>
      </c>
      <c r="AC11" s="5" t="s">
        <v>2</v>
      </c>
      <c r="AD11" s="5" t="s">
        <v>14</v>
      </c>
      <c r="AE11" s="5" t="s">
        <v>12</v>
      </c>
      <c r="AF11" s="3" t="s">
        <v>3</v>
      </c>
      <c r="AG11" s="10" t="s">
        <v>2</v>
      </c>
      <c r="AH11" s="3" t="s">
        <v>14</v>
      </c>
      <c r="AI11" s="3" t="s">
        <v>12</v>
      </c>
      <c r="AJ11" s="5" t="s">
        <v>3</v>
      </c>
      <c r="AK11" s="5" t="s">
        <v>2</v>
      </c>
      <c r="AL11" s="5" t="s">
        <v>14</v>
      </c>
      <c r="AM11" s="5" t="s">
        <v>12</v>
      </c>
      <c r="AN11" s="3" t="s">
        <v>3</v>
      </c>
      <c r="AO11" s="3" t="s">
        <v>2</v>
      </c>
      <c r="AP11" s="3" t="s">
        <v>14</v>
      </c>
      <c r="AQ11" s="3" t="s">
        <v>12</v>
      </c>
      <c r="AR11" s="5" t="s">
        <v>3</v>
      </c>
      <c r="AS11" s="5" t="s">
        <v>2</v>
      </c>
      <c r="AT11" s="5" t="s">
        <v>14</v>
      </c>
      <c r="AU11" s="5" t="s">
        <v>12</v>
      </c>
      <c r="AV11" s="3" t="s">
        <v>3</v>
      </c>
      <c r="AW11" s="3" t="s">
        <v>2</v>
      </c>
      <c r="AX11" s="3" t="s">
        <v>14</v>
      </c>
      <c r="AY11" s="3" t="s">
        <v>12</v>
      </c>
      <c r="AZ11" s="5" t="s">
        <v>3</v>
      </c>
      <c r="BA11" s="5" t="s">
        <v>2</v>
      </c>
      <c r="BB11" s="5" t="s">
        <v>14</v>
      </c>
      <c r="BC11" s="5" t="s">
        <v>12</v>
      </c>
      <c r="BD11" s="21"/>
      <c r="BE11" s="24"/>
      <c r="BF11" s="21"/>
      <c r="BG11" s="24"/>
      <c r="BH11" s="22"/>
    </row>
    <row r="12" spans="1:60" x14ac:dyDescent="0.25">
      <c r="A12" s="2">
        <v>1</v>
      </c>
      <c r="B12" s="2" t="s">
        <v>28</v>
      </c>
      <c r="C12" s="2" t="s">
        <v>35</v>
      </c>
      <c r="D12" s="2"/>
      <c r="E12" s="2"/>
      <c r="F12" s="2"/>
      <c r="G12" s="2" t="s">
        <v>51</v>
      </c>
      <c r="H12" s="2" t="s">
        <v>30</v>
      </c>
      <c r="I12" s="11">
        <v>100000</v>
      </c>
      <c r="J12" s="4">
        <v>44566</v>
      </c>
      <c r="K12" s="2" t="s">
        <v>16</v>
      </c>
      <c r="L12" s="6"/>
      <c r="M12" s="6"/>
      <c r="N12" s="7"/>
      <c r="O12" s="6"/>
      <c r="P12" s="2"/>
      <c r="Q12" s="2"/>
      <c r="R12" s="4"/>
      <c r="S12" s="2"/>
      <c r="T12" s="6" t="s">
        <v>31</v>
      </c>
      <c r="U12" s="12">
        <v>100000</v>
      </c>
      <c r="V12" s="7">
        <v>44660</v>
      </c>
      <c r="W12" s="6" t="s">
        <v>16</v>
      </c>
      <c r="X12" s="2"/>
      <c r="Y12" s="2"/>
      <c r="Z12" s="4"/>
      <c r="AA12" s="2"/>
      <c r="AB12" s="6"/>
      <c r="AC12" s="6"/>
      <c r="AD12" s="7"/>
      <c r="AE12" s="6"/>
      <c r="AF12" s="2"/>
      <c r="AG12" s="11"/>
      <c r="AH12" s="4"/>
      <c r="AI12" s="2"/>
      <c r="AJ12" s="6"/>
      <c r="AK12" s="6"/>
      <c r="AL12" s="7"/>
      <c r="AM12" s="6"/>
      <c r="AN12" s="2"/>
      <c r="AO12" s="2"/>
      <c r="AP12" s="4"/>
      <c r="AQ12" s="2"/>
      <c r="AR12" s="6"/>
      <c r="AS12" s="6"/>
      <c r="AT12" s="7"/>
      <c r="AU12" s="6"/>
      <c r="AV12" s="2"/>
      <c r="AW12" s="2"/>
      <c r="AX12" s="4"/>
      <c r="AY12" s="2"/>
      <c r="AZ12" s="6"/>
      <c r="BA12" s="6"/>
      <c r="BB12" s="7"/>
      <c r="BC12" s="6"/>
      <c r="BD12" s="11">
        <f>BA12+AW12+AS12+AO12+AK12+AG12+AC12+Y12+U12+Q12+M12+I12</f>
        <v>200000</v>
      </c>
      <c r="BE12" s="2">
        <f>COUNT(BA12,AW12,AS12,AO12,AK12,AG12,AC12,Y12,U12,Q12,M12,I12)</f>
        <v>2</v>
      </c>
      <c r="BF12" s="11">
        <f>AVERAGE(BA12,AW12,AS12,AO12,AK12,AG12,AC12,Y12,U12,Q12,M12,I12)</f>
        <v>100000</v>
      </c>
      <c r="BG12" s="2" t="str">
        <f>IF(BE12&lt;1,"PASIF",IF(BE12&lt;$BH$9/2,"AKTIF","LOYAL"))</f>
        <v>AKTIF</v>
      </c>
      <c r="BH12" s="2" t="str">
        <f>IF(BD12&lt;1000000,"SILVER",IF(BD12&lt;=5000000,"GOLD","PLATINUM"))</f>
        <v>SILVER</v>
      </c>
    </row>
    <row r="13" spans="1:60" x14ac:dyDescent="0.25">
      <c r="A13" s="2">
        <v>2</v>
      </c>
      <c r="B13" s="2" t="s">
        <v>29</v>
      </c>
      <c r="C13" s="2" t="s">
        <v>36</v>
      </c>
      <c r="D13" s="2"/>
      <c r="E13" s="2"/>
      <c r="F13" s="2"/>
      <c r="G13" s="2" t="s">
        <v>49</v>
      </c>
      <c r="H13" s="2" t="s">
        <v>15</v>
      </c>
      <c r="I13" s="11">
        <v>100000</v>
      </c>
      <c r="J13" s="4">
        <v>44566</v>
      </c>
      <c r="K13" s="2" t="s">
        <v>32</v>
      </c>
      <c r="L13" s="6" t="s">
        <v>15</v>
      </c>
      <c r="M13" s="12">
        <v>100000</v>
      </c>
      <c r="N13" s="7">
        <v>44599</v>
      </c>
      <c r="O13" s="6" t="s">
        <v>32</v>
      </c>
      <c r="P13" s="2" t="s">
        <v>15</v>
      </c>
      <c r="Q13" s="11">
        <v>100000</v>
      </c>
      <c r="R13" s="4">
        <v>44623</v>
      </c>
      <c r="S13" s="2" t="s">
        <v>32</v>
      </c>
      <c r="T13" s="6" t="s">
        <v>15</v>
      </c>
      <c r="U13" s="12">
        <v>100000</v>
      </c>
      <c r="V13" s="7">
        <v>44652</v>
      </c>
      <c r="W13" s="6" t="s">
        <v>32</v>
      </c>
      <c r="X13" s="2" t="s">
        <v>15</v>
      </c>
      <c r="Y13" s="11">
        <v>100000</v>
      </c>
      <c r="Z13" s="4">
        <v>44686</v>
      </c>
      <c r="AA13" s="2" t="s">
        <v>32</v>
      </c>
      <c r="AB13" s="6" t="s">
        <v>15</v>
      </c>
      <c r="AC13" s="12">
        <v>100000</v>
      </c>
      <c r="AD13" s="7">
        <v>44717</v>
      </c>
      <c r="AE13" s="6" t="s">
        <v>32</v>
      </c>
      <c r="AF13" s="2" t="s">
        <v>15</v>
      </c>
      <c r="AG13" s="11">
        <v>100000</v>
      </c>
      <c r="AH13" s="4">
        <v>44747</v>
      </c>
      <c r="AI13" s="2" t="s">
        <v>32</v>
      </c>
      <c r="AJ13" s="6" t="s">
        <v>15</v>
      </c>
      <c r="AK13" s="12">
        <v>100000</v>
      </c>
      <c r="AL13" s="7">
        <v>44778</v>
      </c>
      <c r="AM13" s="6" t="s">
        <v>32</v>
      </c>
      <c r="AN13" s="2" t="s">
        <v>15</v>
      </c>
      <c r="AO13" s="11">
        <v>100000</v>
      </c>
      <c r="AP13" s="4">
        <v>44809</v>
      </c>
      <c r="AQ13" s="2" t="s">
        <v>32</v>
      </c>
      <c r="AR13" s="6"/>
      <c r="AS13" s="12"/>
      <c r="AT13" s="7"/>
      <c r="AU13" s="6"/>
      <c r="AV13" s="2"/>
      <c r="AW13" s="11"/>
      <c r="AX13" s="4"/>
      <c r="AY13" s="2"/>
      <c r="AZ13" s="6"/>
      <c r="BA13" s="12"/>
      <c r="BB13" s="7"/>
      <c r="BC13" s="6"/>
      <c r="BD13" s="11">
        <f t="shared" ref="BD13:BD21" si="0">BA13+AW13+AS13+AO13+AK13+AG13+AC13+Y13+U13+Q13+M13+I13</f>
        <v>900000</v>
      </c>
      <c r="BE13" s="2">
        <f t="shared" ref="BE13:BE21" si="1">COUNT(BA13,AW13,AS13,AO13,AK13,AG13,AC13,Y13,U13,Q13,M13,I13)</f>
        <v>9</v>
      </c>
      <c r="BF13" s="11">
        <f t="shared" ref="BF13:BF21" si="2">AVERAGE(BA13,AW13,AS13,AO13,AK13,AG13,AC13,Y13,U13,Q13,M13,I13)</f>
        <v>100000</v>
      </c>
      <c r="BG13" s="2" t="str">
        <f t="shared" ref="BG13:BG21" si="3">IF(BE13&lt;1,"PASIF",IF(BE13&lt;$BH$9/2,"AKTIF","LOYAL"))</f>
        <v>LOYAL</v>
      </c>
      <c r="BH13" s="2" t="str">
        <f t="shared" ref="BH13:BH16" si="4">IF(BD13&lt;1000000,"SILVER",IF(BD13&lt;=5000000,"GOLD","PLATINUM"))</f>
        <v>SILVER</v>
      </c>
    </row>
    <row r="14" spans="1:60" x14ac:dyDescent="0.25">
      <c r="A14" s="2">
        <v>3</v>
      </c>
      <c r="B14" s="2" t="s">
        <v>33</v>
      </c>
      <c r="C14" s="2" t="s">
        <v>37</v>
      </c>
      <c r="D14" s="2"/>
      <c r="E14" s="2"/>
      <c r="F14" s="2"/>
      <c r="G14" s="2" t="s">
        <v>52</v>
      </c>
      <c r="H14" s="2"/>
      <c r="I14" s="11"/>
      <c r="J14" s="2"/>
      <c r="K14" s="2"/>
      <c r="L14" s="6"/>
      <c r="M14" s="6"/>
      <c r="N14" s="6"/>
      <c r="O14" s="6"/>
      <c r="P14" s="2"/>
      <c r="Q14" s="2"/>
      <c r="R14" s="2"/>
      <c r="S14" s="2"/>
      <c r="T14" s="6"/>
      <c r="U14" s="6"/>
      <c r="V14" s="6"/>
      <c r="W14" s="6"/>
      <c r="X14" s="2"/>
      <c r="Y14" s="2"/>
      <c r="Z14" s="2"/>
      <c r="AA14" s="2"/>
      <c r="AB14" s="6"/>
      <c r="AC14" s="6"/>
      <c r="AD14" s="6"/>
      <c r="AE14" s="6"/>
      <c r="AF14" s="2" t="s">
        <v>31</v>
      </c>
      <c r="AG14" s="11">
        <v>50000000</v>
      </c>
      <c r="AH14" s="4">
        <v>44767</v>
      </c>
      <c r="AI14" s="2" t="s">
        <v>34</v>
      </c>
      <c r="AJ14" s="6"/>
      <c r="AK14" s="6"/>
      <c r="AL14" s="6"/>
      <c r="AM14" s="6"/>
      <c r="AN14" s="2"/>
      <c r="AO14" s="2"/>
      <c r="AP14" s="2"/>
      <c r="AQ14" s="2"/>
      <c r="AR14" s="6"/>
      <c r="AS14" s="6"/>
      <c r="AT14" s="6"/>
      <c r="AU14" s="6"/>
      <c r="AV14" s="2"/>
      <c r="AW14" s="2"/>
      <c r="AX14" s="2"/>
      <c r="AY14" s="2"/>
      <c r="AZ14" s="6"/>
      <c r="BA14" s="6"/>
      <c r="BB14" s="6"/>
      <c r="BC14" s="6"/>
      <c r="BD14" s="11">
        <f t="shared" si="0"/>
        <v>50000000</v>
      </c>
      <c r="BE14" s="2">
        <f t="shared" si="1"/>
        <v>1</v>
      </c>
      <c r="BF14" s="11">
        <f t="shared" si="2"/>
        <v>50000000</v>
      </c>
      <c r="BG14" s="2" t="str">
        <f>IF(BE14&lt;1,"PASIF",IF(BE14&lt;$BH$9/2,"AKTIF","LOYAL"))</f>
        <v>AKTIF</v>
      </c>
      <c r="BH14" s="2" t="str">
        <f>IF(BD14&lt;1000000,"SILVER",IF(BD14&lt;=5000000,"GOLD","PLATINUM"))</f>
        <v>PLATINUM</v>
      </c>
    </row>
    <row r="15" spans="1:60" x14ac:dyDescent="0.25">
      <c r="A15" s="2">
        <v>4</v>
      </c>
      <c r="B15" s="2" t="s">
        <v>39</v>
      </c>
      <c r="C15" s="2" t="s">
        <v>38</v>
      </c>
      <c r="D15" s="2"/>
      <c r="E15" s="2"/>
      <c r="F15" s="2"/>
      <c r="G15" s="2" t="s">
        <v>53</v>
      </c>
      <c r="H15" s="2"/>
      <c r="I15" s="11"/>
      <c r="J15" s="2"/>
      <c r="K15" s="2"/>
      <c r="L15" s="6"/>
      <c r="M15" s="6"/>
      <c r="N15" s="6"/>
      <c r="O15" s="6"/>
      <c r="P15" s="2"/>
      <c r="Q15" s="2"/>
      <c r="R15" s="2"/>
      <c r="S15" s="2"/>
      <c r="T15" s="6"/>
      <c r="U15" s="6"/>
      <c r="V15" s="6"/>
      <c r="W15" s="6"/>
      <c r="X15" s="2"/>
      <c r="Y15" s="2"/>
      <c r="Z15" s="2"/>
      <c r="AA15" s="2"/>
      <c r="AB15" s="6"/>
      <c r="AC15" s="6"/>
      <c r="AD15" s="6"/>
      <c r="AE15" s="6"/>
      <c r="AF15" s="2"/>
      <c r="AG15" s="11"/>
      <c r="AH15" s="2"/>
      <c r="AI15" s="2"/>
      <c r="AJ15" s="6"/>
      <c r="AK15" s="6"/>
      <c r="AL15" s="6"/>
      <c r="AM15" s="6"/>
      <c r="AN15" s="2" t="s">
        <v>41</v>
      </c>
      <c r="AO15" s="11">
        <v>5000000</v>
      </c>
      <c r="AP15" s="4">
        <v>44819</v>
      </c>
      <c r="AQ15" s="2" t="s">
        <v>40</v>
      </c>
      <c r="AR15" s="6"/>
      <c r="AS15" s="6"/>
      <c r="AT15" s="6"/>
      <c r="AU15" s="6"/>
      <c r="AV15" s="2"/>
      <c r="AW15" s="2"/>
      <c r="AX15" s="2"/>
      <c r="AY15" s="2"/>
      <c r="AZ15" s="6"/>
      <c r="BA15" s="6"/>
      <c r="BB15" s="6"/>
      <c r="BC15" s="6"/>
      <c r="BD15" s="11">
        <f t="shared" si="0"/>
        <v>5000000</v>
      </c>
      <c r="BE15" s="2">
        <f t="shared" si="1"/>
        <v>1</v>
      </c>
      <c r="BF15" s="11">
        <f t="shared" si="2"/>
        <v>5000000</v>
      </c>
      <c r="BG15" s="2" t="str">
        <f t="shared" si="3"/>
        <v>AKTIF</v>
      </c>
      <c r="BH15" s="2" t="str">
        <f t="shared" si="4"/>
        <v>GOLD</v>
      </c>
    </row>
    <row r="16" spans="1:60" x14ac:dyDescent="0.25">
      <c r="A16" s="2">
        <v>5</v>
      </c>
      <c r="B16" s="2" t="s">
        <v>45</v>
      </c>
      <c r="C16" s="2" t="s">
        <v>38</v>
      </c>
      <c r="D16" s="2"/>
      <c r="E16" s="2"/>
      <c r="F16" s="2"/>
      <c r="G16" s="2" t="s">
        <v>52</v>
      </c>
      <c r="H16" s="2"/>
      <c r="I16" s="11"/>
      <c r="J16" s="2"/>
      <c r="K16" s="2"/>
      <c r="L16" s="6"/>
      <c r="M16" s="6"/>
      <c r="N16" s="6"/>
      <c r="O16" s="6"/>
      <c r="P16" s="2"/>
      <c r="Q16" s="2"/>
      <c r="R16" s="2"/>
      <c r="S16" s="2"/>
      <c r="T16" s="6"/>
      <c r="U16" s="6"/>
      <c r="V16" s="6"/>
      <c r="W16" s="6"/>
      <c r="X16" s="2" t="s">
        <v>15</v>
      </c>
      <c r="Y16" s="11">
        <v>100000</v>
      </c>
      <c r="Z16" s="4">
        <v>44686</v>
      </c>
      <c r="AA16" s="2" t="s">
        <v>32</v>
      </c>
      <c r="AB16" s="6" t="s">
        <v>15</v>
      </c>
      <c r="AC16" s="12">
        <v>100000</v>
      </c>
      <c r="AD16" s="7">
        <v>44717</v>
      </c>
      <c r="AE16" s="6" t="s">
        <v>32</v>
      </c>
      <c r="AF16" s="2" t="s">
        <v>15</v>
      </c>
      <c r="AG16" s="11">
        <v>100000</v>
      </c>
      <c r="AH16" s="4">
        <v>44747</v>
      </c>
      <c r="AI16" s="2" t="s">
        <v>32</v>
      </c>
      <c r="AJ16" s="6" t="s">
        <v>15</v>
      </c>
      <c r="AK16" s="12">
        <v>100000</v>
      </c>
      <c r="AL16" s="7">
        <v>44778</v>
      </c>
      <c r="AM16" s="6" t="s">
        <v>32</v>
      </c>
      <c r="AN16" s="2" t="s">
        <v>15</v>
      </c>
      <c r="AO16" s="11">
        <v>100000</v>
      </c>
      <c r="AP16" s="4">
        <v>44809</v>
      </c>
      <c r="AQ16" s="2" t="s">
        <v>32</v>
      </c>
      <c r="AR16" s="6"/>
      <c r="AS16" s="6"/>
      <c r="AT16" s="6"/>
      <c r="AU16" s="6"/>
      <c r="AV16" s="2"/>
      <c r="AW16" s="2"/>
      <c r="AX16" s="2"/>
      <c r="AY16" s="2"/>
      <c r="AZ16" s="6"/>
      <c r="BA16" s="6"/>
      <c r="BB16" s="6"/>
      <c r="BC16" s="6"/>
      <c r="BD16" s="11">
        <f t="shared" si="0"/>
        <v>500000</v>
      </c>
      <c r="BE16" s="2">
        <f t="shared" si="1"/>
        <v>5</v>
      </c>
      <c r="BF16" s="11">
        <f t="shared" si="2"/>
        <v>100000</v>
      </c>
      <c r="BG16" s="2" t="str">
        <f t="shared" si="3"/>
        <v>LOYAL</v>
      </c>
      <c r="BH16" s="2" t="str">
        <f t="shared" si="4"/>
        <v>SILVER</v>
      </c>
    </row>
    <row r="17" spans="1:60" x14ac:dyDescent="0.25">
      <c r="A17" s="2">
        <v>6</v>
      </c>
      <c r="B17" s="2" t="s">
        <v>54</v>
      </c>
      <c r="C17" s="2" t="s">
        <v>38</v>
      </c>
      <c r="D17" s="2"/>
      <c r="E17" s="2"/>
      <c r="F17" s="2"/>
      <c r="G17" s="2" t="s">
        <v>53</v>
      </c>
      <c r="H17" s="2"/>
      <c r="I17" s="11"/>
      <c r="J17" s="2"/>
      <c r="K17" s="2"/>
      <c r="L17" s="6"/>
      <c r="M17" s="6"/>
      <c r="N17" s="6"/>
      <c r="O17" s="6"/>
      <c r="P17" s="2"/>
      <c r="Q17" s="2"/>
      <c r="R17" s="2"/>
      <c r="S17" s="2"/>
      <c r="T17" s="6"/>
      <c r="U17" s="6"/>
      <c r="V17" s="6"/>
      <c r="W17" s="6"/>
      <c r="X17" s="2"/>
      <c r="Y17" s="2"/>
      <c r="Z17" s="2"/>
      <c r="AA17" s="2"/>
      <c r="AB17" s="6"/>
      <c r="AC17" s="6"/>
      <c r="AD17" s="6"/>
      <c r="AE17" s="6"/>
      <c r="AF17" s="2"/>
      <c r="AG17" s="11"/>
      <c r="AH17" s="2"/>
      <c r="AI17" s="2"/>
      <c r="AJ17" s="6"/>
      <c r="AK17" s="6"/>
      <c r="AL17" s="6"/>
      <c r="AM17" s="6"/>
      <c r="AN17" s="2"/>
      <c r="AO17" s="2"/>
      <c r="AP17" s="2"/>
      <c r="AQ17" s="2"/>
      <c r="AR17" s="6"/>
      <c r="AS17" s="6"/>
      <c r="AT17" s="6"/>
      <c r="AU17" s="6"/>
      <c r="AV17" s="2"/>
      <c r="AW17" s="2"/>
      <c r="AX17" s="2"/>
      <c r="AY17" s="2"/>
      <c r="AZ17" s="6"/>
      <c r="BA17" s="6"/>
      <c r="BB17" s="6"/>
      <c r="BC17" s="6"/>
      <c r="BD17" s="11">
        <f t="shared" si="0"/>
        <v>0</v>
      </c>
      <c r="BE17" s="2">
        <f t="shared" si="1"/>
        <v>0</v>
      </c>
      <c r="BF17" s="11" t="e">
        <f t="shared" si="2"/>
        <v>#DIV/0!</v>
      </c>
      <c r="BG17" s="2" t="str">
        <f t="shared" si="3"/>
        <v>PASIF</v>
      </c>
      <c r="BH17" s="2"/>
    </row>
    <row r="18" spans="1:60" x14ac:dyDescent="0.25">
      <c r="A18" s="2">
        <v>7</v>
      </c>
      <c r="B18" s="2" t="s">
        <v>55</v>
      </c>
      <c r="C18" s="2" t="s">
        <v>38</v>
      </c>
      <c r="D18" s="2"/>
      <c r="E18" s="2"/>
      <c r="F18" s="2"/>
      <c r="G18" s="2" t="s">
        <v>49</v>
      </c>
      <c r="H18" s="2"/>
      <c r="I18" s="11"/>
      <c r="J18" s="2"/>
      <c r="K18" s="2"/>
      <c r="L18" s="6"/>
      <c r="M18" s="6"/>
      <c r="N18" s="6"/>
      <c r="O18" s="6"/>
      <c r="P18" s="2"/>
      <c r="Q18" s="2"/>
      <c r="R18" s="2"/>
      <c r="S18" s="2"/>
      <c r="T18" s="6"/>
      <c r="U18" s="6"/>
      <c r="V18" s="6"/>
      <c r="W18" s="6"/>
      <c r="X18" s="2"/>
      <c r="Y18" s="2"/>
      <c r="Z18" s="2"/>
      <c r="AA18" s="2"/>
      <c r="AB18" s="6"/>
      <c r="AC18" s="6"/>
      <c r="AD18" s="6"/>
      <c r="AE18" s="6"/>
      <c r="AF18" s="2"/>
      <c r="AG18" s="11"/>
      <c r="AH18" s="2"/>
      <c r="AI18" s="2"/>
      <c r="AJ18" s="6"/>
      <c r="AK18" s="6"/>
      <c r="AL18" s="6"/>
      <c r="AM18" s="6"/>
      <c r="AN18" s="2"/>
      <c r="AO18" s="2"/>
      <c r="AP18" s="2"/>
      <c r="AQ18" s="2"/>
      <c r="AR18" s="6"/>
      <c r="AS18" s="6"/>
      <c r="AT18" s="6"/>
      <c r="AU18" s="6"/>
      <c r="AV18" s="2"/>
      <c r="AW18" s="2"/>
      <c r="AX18" s="2"/>
      <c r="AY18" s="2"/>
      <c r="AZ18" s="6"/>
      <c r="BA18" s="6"/>
      <c r="BB18" s="6"/>
      <c r="BC18" s="6"/>
      <c r="BD18" s="11">
        <f t="shared" si="0"/>
        <v>0</v>
      </c>
      <c r="BE18" s="2">
        <f t="shared" si="1"/>
        <v>0</v>
      </c>
      <c r="BF18" s="11" t="e">
        <f t="shared" si="2"/>
        <v>#DIV/0!</v>
      </c>
      <c r="BG18" s="2" t="str">
        <f t="shared" si="3"/>
        <v>PASIF</v>
      </c>
      <c r="BH18" s="2"/>
    </row>
    <row r="19" spans="1:60" x14ac:dyDescent="0.25">
      <c r="A19" s="2">
        <v>8</v>
      </c>
      <c r="B19" s="2"/>
      <c r="C19" s="2"/>
      <c r="D19" s="2"/>
      <c r="E19" s="2"/>
      <c r="F19" s="2"/>
      <c r="G19" s="2"/>
      <c r="H19" s="2"/>
      <c r="I19" s="11"/>
      <c r="J19" s="2"/>
      <c r="K19" s="2"/>
      <c r="L19" s="6"/>
      <c r="M19" s="6"/>
      <c r="N19" s="6"/>
      <c r="O19" s="6"/>
      <c r="P19" s="2"/>
      <c r="Q19" s="2"/>
      <c r="R19" s="2"/>
      <c r="S19" s="2"/>
      <c r="T19" s="6"/>
      <c r="U19" s="6"/>
      <c r="V19" s="6"/>
      <c r="W19" s="6"/>
      <c r="X19" s="2"/>
      <c r="Y19" s="2"/>
      <c r="Z19" s="2"/>
      <c r="AA19" s="2"/>
      <c r="AB19" s="6"/>
      <c r="AC19" s="6"/>
      <c r="AD19" s="6"/>
      <c r="AE19" s="6"/>
      <c r="AF19" s="2"/>
      <c r="AG19" s="11"/>
      <c r="AH19" s="2"/>
      <c r="AI19" s="2"/>
      <c r="AJ19" s="6"/>
      <c r="AK19" s="6"/>
      <c r="AL19" s="6"/>
      <c r="AM19" s="6"/>
      <c r="AN19" s="2"/>
      <c r="AO19" s="2"/>
      <c r="AP19" s="2"/>
      <c r="AQ19" s="2"/>
      <c r="AR19" s="6"/>
      <c r="AS19" s="6"/>
      <c r="AT19" s="6"/>
      <c r="AU19" s="6"/>
      <c r="AV19" s="2"/>
      <c r="AW19" s="2"/>
      <c r="AX19" s="2"/>
      <c r="AY19" s="2"/>
      <c r="AZ19" s="6"/>
      <c r="BA19" s="6"/>
      <c r="BB19" s="6"/>
      <c r="BC19" s="6"/>
      <c r="BD19" s="11">
        <f t="shared" si="0"/>
        <v>0</v>
      </c>
      <c r="BE19" s="2">
        <f t="shared" si="1"/>
        <v>0</v>
      </c>
      <c r="BF19" s="11" t="e">
        <f t="shared" si="2"/>
        <v>#DIV/0!</v>
      </c>
      <c r="BG19" s="2" t="str">
        <f t="shared" si="3"/>
        <v>PASIF</v>
      </c>
      <c r="BH19" s="2"/>
    </row>
    <row r="20" spans="1:60" x14ac:dyDescent="0.25">
      <c r="A20" s="2">
        <v>9</v>
      </c>
      <c r="B20" s="2"/>
      <c r="C20" s="2"/>
      <c r="D20" s="2"/>
      <c r="E20" s="2"/>
      <c r="F20" s="2"/>
      <c r="G20" s="2"/>
      <c r="H20" s="2"/>
      <c r="I20" s="11"/>
      <c r="J20" s="2"/>
      <c r="K20" s="2"/>
      <c r="L20" s="6"/>
      <c r="M20" s="6"/>
      <c r="N20" s="6"/>
      <c r="O20" s="6"/>
      <c r="P20" s="2"/>
      <c r="Q20" s="2"/>
      <c r="R20" s="2"/>
      <c r="S20" s="2"/>
      <c r="T20" s="6"/>
      <c r="U20" s="6"/>
      <c r="V20" s="6"/>
      <c r="W20" s="6"/>
      <c r="X20" s="2"/>
      <c r="Y20" s="2"/>
      <c r="Z20" s="2"/>
      <c r="AA20" s="2"/>
      <c r="AB20" s="6"/>
      <c r="AC20" s="6"/>
      <c r="AD20" s="6"/>
      <c r="AE20" s="6"/>
      <c r="AF20" s="2"/>
      <c r="AG20" s="11"/>
      <c r="AH20" s="2"/>
      <c r="AI20" s="2"/>
      <c r="AJ20" s="6"/>
      <c r="AK20" s="6"/>
      <c r="AL20" s="6"/>
      <c r="AM20" s="6"/>
      <c r="AN20" s="2"/>
      <c r="AO20" s="2"/>
      <c r="AP20" s="2"/>
      <c r="AQ20" s="2"/>
      <c r="AR20" s="6"/>
      <c r="AS20" s="6"/>
      <c r="AT20" s="6"/>
      <c r="AU20" s="6"/>
      <c r="AV20" s="2"/>
      <c r="AW20" s="2"/>
      <c r="AX20" s="2"/>
      <c r="AY20" s="2"/>
      <c r="AZ20" s="6"/>
      <c r="BA20" s="6"/>
      <c r="BB20" s="6"/>
      <c r="BC20" s="6"/>
      <c r="BD20" s="11">
        <f t="shared" si="0"/>
        <v>0</v>
      </c>
      <c r="BE20" s="2">
        <f t="shared" si="1"/>
        <v>0</v>
      </c>
      <c r="BF20" s="11" t="e">
        <f t="shared" si="2"/>
        <v>#DIV/0!</v>
      </c>
      <c r="BG20" s="2" t="str">
        <f t="shared" si="3"/>
        <v>PASIF</v>
      </c>
      <c r="BH20" s="2"/>
    </row>
    <row r="21" spans="1:60" x14ac:dyDescent="0.25">
      <c r="A21" s="2">
        <v>10</v>
      </c>
      <c r="B21" s="2"/>
      <c r="C21" s="2"/>
      <c r="D21" s="2"/>
      <c r="E21" s="2"/>
      <c r="F21" s="2"/>
      <c r="G21" s="2"/>
      <c r="H21" s="2"/>
      <c r="I21" s="11"/>
      <c r="J21" s="2"/>
      <c r="K21" s="2"/>
      <c r="L21" s="6"/>
      <c r="M21" s="6"/>
      <c r="N21" s="6"/>
      <c r="O21" s="6"/>
      <c r="P21" s="2"/>
      <c r="Q21" s="2"/>
      <c r="R21" s="2"/>
      <c r="S21" s="2"/>
      <c r="T21" s="6"/>
      <c r="U21" s="6"/>
      <c r="V21" s="6"/>
      <c r="W21" s="6"/>
      <c r="X21" s="2"/>
      <c r="Y21" s="2"/>
      <c r="Z21" s="2"/>
      <c r="AA21" s="2"/>
      <c r="AB21" s="6"/>
      <c r="AC21" s="6"/>
      <c r="AD21" s="6"/>
      <c r="AE21" s="6"/>
      <c r="AF21" s="2"/>
      <c r="AG21" s="11"/>
      <c r="AH21" s="2"/>
      <c r="AI21" s="2"/>
      <c r="AJ21" s="6"/>
      <c r="AK21" s="6"/>
      <c r="AL21" s="6"/>
      <c r="AM21" s="6"/>
      <c r="AN21" s="2"/>
      <c r="AO21" s="2"/>
      <c r="AP21" s="2"/>
      <c r="AQ21" s="2"/>
      <c r="AR21" s="6"/>
      <c r="AS21" s="6"/>
      <c r="AT21" s="6"/>
      <c r="AU21" s="6"/>
      <c r="AV21" s="2"/>
      <c r="AW21" s="2"/>
      <c r="AX21" s="2"/>
      <c r="AY21" s="2"/>
      <c r="AZ21" s="6"/>
      <c r="BA21" s="6"/>
      <c r="BB21" s="6"/>
      <c r="BC21" s="6"/>
      <c r="BD21" s="11">
        <f t="shared" si="0"/>
        <v>0</v>
      </c>
      <c r="BE21" s="2">
        <f t="shared" si="1"/>
        <v>0</v>
      </c>
      <c r="BF21" s="11" t="e">
        <f t="shared" si="2"/>
        <v>#DIV/0!</v>
      </c>
      <c r="BG21" s="2" t="str">
        <f t="shared" si="3"/>
        <v>PASIF</v>
      </c>
      <c r="BH21" s="2"/>
    </row>
    <row r="22" spans="1:60" x14ac:dyDescent="0.25">
      <c r="A22" s="2">
        <v>11</v>
      </c>
    </row>
  </sheetData>
  <mergeCells count="24">
    <mergeCell ref="BH10:BH11"/>
    <mergeCell ref="BG10:BG11"/>
    <mergeCell ref="P10:S10"/>
    <mergeCell ref="T10:W10"/>
    <mergeCell ref="X10:AA10"/>
    <mergeCell ref="AB10:AE10"/>
    <mergeCell ref="AF10:AI10"/>
    <mergeCell ref="AJ10:AM10"/>
    <mergeCell ref="AN10:AQ10"/>
    <mergeCell ref="AR10:AU10"/>
    <mergeCell ref="AV10:AY10"/>
    <mergeCell ref="AZ10:BC10"/>
    <mergeCell ref="L10:O10"/>
    <mergeCell ref="H10:K10"/>
    <mergeCell ref="BF10:BF11"/>
    <mergeCell ref="A10:A11"/>
    <mergeCell ref="B10:B11"/>
    <mergeCell ref="C10:C11"/>
    <mergeCell ref="D10:D11"/>
    <mergeCell ref="BD10:BD11"/>
    <mergeCell ref="BE10:BE11"/>
    <mergeCell ref="G10:G11"/>
    <mergeCell ref="F10:F11"/>
    <mergeCell ref="E10:E11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J448"/>
  <sheetViews>
    <sheetView tabSelected="1" zoomScaleNormal="100" workbookViewId="0">
      <pane xSplit="4" ySplit="11" topLeftCell="E12" activePane="bottomRight" state="frozen"/>
      <selection pane="topRight" activeCell="E1" sqref="E1"/>
      <selection pane="bottomLeft" activeCell="A3" sqref="A3"/>
      <selection pane="bottomRight" activeCell="F19" sqref="F19"/>
    </sheetView>
  </sheetViews>
  <sheetFormatPr defaultRowHeight="15" x14ac:dyDescent="0.25"/>
  <cols>
    <col min="1" max="1" width="5.5703125" style="25" customWidth="1"/>
    <col min="2" max="2" width="48.5703125" style="25" bestFit="1" customWidth="1"/>
    <col min="3" max="3" width="14.28515625" style="25" customWidth="1"/>
    <col min="4" max="7" width="22.140625" style="25" customWidth="1"/>
    <col min="8" max="8" width="46.5703125" style="25" bestFit="1" customWidth="1"/>
    <col min="9" max="9" width="10.5703125" style="35" bestFit="1" customWidth="1"/>
    <col min="10" max="10" width="17.7109375" style="25" bestFit="1" customWidth="1"/>
    <col min="11" max="11" width="21.5703125" style="25" bestFit="1" customWidth="1"/>
    <col min="12" max="12" width="51.28515625" style="25" bestFit="1" customWidth="1"/>
    <col min="13" max="13" width="9" style="35" bestFit="1" customWidth="1"/>
    <col min="14" max="14" width="18.140625" style="25" bestFit="1" customWidth="1"/>
    <col min="15" max="15" width="42.42578125" style="25" bestFit="1" customWidth="1"/>
    <col min="16" max="19" width="12.5703125" style="25" customWidth="1"/>
    <col min="20" max="20" width="15" style="25" bestFit="1" customWidth="1"/>
    <col min="21" max="31" width="12.5703125" style="25" customWidth="1"/>
    <col min="32" max="32" width="15" style="25" bestFit="1" customWidth="1"/>
    <col min="33" max="33" width="12.5703125" style="26" customWidth="1"/>
    <col min="34" max="55" width="12.5703125" style="25" customWidth="1"/>
    <col min="56" max="56" width="16.85546875" style="26" customWidth="1"/>
    <col min="57" max="59" width="14.28515625" style="25" customWidth="1"/>
    <col min="60" max="60" width="13" style="26" customWidth="1"/>
    <col min="61" max="61" width="20.28515625" style="25" customWidth="1"/>
    <col min="62" max="62" width="18" style="25" customWidth="1"/>
    <col min="63" max="16384" width="9.140625" style="25"/>
  </cols>
  <sheetData>
    <row r="3" spans="1:62" x14ac:dyDescent="0.25">
      <c r="BI3" s="25" t="s">
        <v>42</v>
      </c>
    </row>
    <row r="4" spans="1:62" x14ac:dyDescent="0.25">
      <c r="BI4" s="25" t="s">
        <v>43</v>
      </c>
    </row>
    <row r="5" spans="1:62" x14ac:dyDescent="0.25">
      <c r="BI5" s="25" t="s">
        <v>44</v>
      </c>
    </row>
    <row r="8" spans="1:62" x14ac:dyDescent="0.25">
      <c r="B8" s="25" t="s">
        <v>60</v>
      </c>
    </row>
    <row r="9" spans="1:62" x14ac:dyDescent="0.25">
      <c r="BI9" s="25" t="s">
        <v>27</v>
      </c>
      <c r="BJ9" s="25">
        <v>9</v>
      </c>
    </row>
    <row r="10" spans="1:62" x14ac:dyDescent="0.25">
      <c r="A10" s="27" t="s">
        <v>0</v>
      </c>
      <c r="B10" s="27" t="s">
        <v>1</v>
      </c>
      <c r="C10" s="27" t="s">
        <v>5</v>
      </c>
      <c r="D10" s="27" t="s">
        <v>4</v>
      </c>
      <c r="E10" s="27" t="s">
        <v>50</v>
      </c>
      <c r="F10" s="27" t="s">
        <v>48</v>
      </c>
      <c r="G10" s="27" t="s">
        <v>47</v>
      </c>
      <c r="H10" s="39" t="s">
        <v>6</v>
      </c>
      <c r="I10" s="39"/>
      <c r="J10" s="39"/>
      <c r="K10" s="39"/>
      <c r="L10" s="39" t="s">
        <v>17</v>
      </c>
      <c r="M10" s="39"/>
      <c r="N10" s="39"/>
      <c r="O10" s="39"/>
      <c r="P10" s="39" t="s">
        <v>18</v>
      </c>
      <c r="Q10" s="39"/>
      <c r="R10" s="39"/>
      <c r="S10" s="39"/>
      <c r="T10" s="39" t="s">
        <v>19</v>
      </c>
      <c r="U10" s="39"/>
      <c r="V10" s="39"/>
      <c r="W10" s="39"/>
      <c r="X10" s="39" t="s">
        <v>20</v>
      </c>
      <c r="Y10" s="39"/>
      <c r="Z10" s="39"/>
      <c r="AA10" s="39"/>
      <c r="AB10" s="39" t="s">
        <v>21</v>
      </c>
      <c r="AC10" s="39"/>
      <c r="AD10" s="39"/>
      <c r="AE10" s="39"/>
      <c r="AF10" s="39" t="s">
        <v>22</v>
      </c>
      <c r="AG10" s="39"/>
      <c r="AH10" s="39"/>
      <c r="AI10" s="39"/>
      <c r="AJ10" s="39" t="s">
        <v>23</v>
      </c>
      <c r="AK10" s="39"/>
      <c r="AL10" s="39"/>
      <c r="AM10" s="39"/>
      <c r="AN10" s="39" t="s">
        <v>7</v>
      </c>
      <c r="AO10" s="39"/>
      <c r="AP10" s="39"/>
      <c r="AQ10" s="39"/>
      <c r="AR10" s="39" t="s">
        <v>24</v>
      </c>
      <c r="AS10" s="39"/>
      <c r="AT10" s="39"/>
      <c r="AU10" s="39"/>
      <c r="AV10" s="39" t="s">
        <v>25</v>
      </c>
      <c r="AW10" s="39"/>
      <c r="AX10" s="39"/>
      <c r="AY10" s="39"/>
      <c r="AZ10" s="39" t="s">
        <v>26</v>
      </c>
      <c r="BA10" s="39"/>
      <c r="BB10" s="39"/>
      <c r="BC10" s="39"/>
      <c r="BD10" s="40" t="s">
        <v>8</v>
      </c>
      <c r="BE10" s="27" t="s">
        <v>9</v>
      </c>
      <c r="BF10" s="27" t="s">
        <v>61</v>
      </c>
      <c r="BG10" s="27" t="s">
        <v>3</v>
      </c>
      <c r="BH10" s="40" t="s">
        <v>10</v>
      </c>
      <c r="BI10" s="27" t="s">
        <v>11</v>
      </c>
      <c r="BJ10" s="27" t="s">
        <v>13</v>
      </c>
    </row>
    <row r="11" spans="1:62" s="30" customFormat="1" x14ac:dyDescent="0.25">
      <c r="A11" s="27"/>
      <c r="B11" s="27"/>
      <c r="C11" s="27"/>
      <c r="D11" s="27"/>
      <c r="E11" s="27"/>
      <c r="F11" s="27"/>
      <c r="G11" s="27"/>
      <c r="H11" s="28" t="s">
        <v>3</v>
      </c>
      <c r="I11" s="36" t="s">
        <v>2</v>
      </c>
      <c r="J11" s="28" t="s">
        <v>14</v>
      </c>
      <c r="K11" s="28" t="s">
        <v>12</v>
      </c>
      <c r="L11" s="28" t="s">
        <v>3</v>
      </c>
      <c r="M11" s="36" t="s">
        <v>2</v>
      </c>
      <c r="N11" s="28" t="s">
        <v>14</v>
      </c>
      <c r="O11" s="28" t="s">
        <v>12</v>
      </c>
      <c r="P11" s="28" t="s">
        <v>3</v>
      </c>
      <c r="Q11" s="28" t="s">
        <v>2</v>
      </c>
      <c r="R11" s="28" t="s">
        <v>14</v>
      </c>
      <c r="S11" s="28" t="s">
        <v>12</v>
      </c>
      <c r="T11" s="28" t="s">
        <v>3</v>
      </c>
      <c r="U11" s="28" t="s">
        <v>2</v>
      </c>
      <c r="V11" s="28" t="s">
        <v>14</v>
      </c>
      <c r="W11" s="28" t="s">
        <v>12</v>
      </c>
      <c r="X11" s="28" t="s">
        <v>3</v>
      </c>
      <c r="Y11" s="28" t="s">
        <v>2</v>
      </c>
      <c r="Z11" s="28" t="s">
        <v>14</v>
      </c>
      <c r="AA11" s="28" t="s">
        <v>12</v>
      </c>
      <c r="AB11" s="28" t="s">
        <v>3</v>
      </c>
      <c r="AC11" s="28" t="s">
        <v>2</v>
      </c>
      <c r="AD11" s="28" t="s">
        <v>14</v>
      </c>
      <c r="AE11" s="28" t="s">
        <v>12</v>
      </c>
      <c r="AF11" s="28" t="s">
        <v>3</v>
      </c>
      <c r="AG11" s="29" t="s">
        <v>2</v>
      </c>
      <c r="AH11" s="28" t="s">
        <v>14</v>
      </c>
      <c r="AI11" s="28" t="s">
        <v>12</v>
      </c>
      <c r="AJ11" s="28" t="s">
        <v>3</v>
      </c>
      <c r="AK11" s="28" t="s">
        <v>2</v>
      </c>
      <c r="AL11" s="28" t="s">
        <v>14</v>
      </c>
      <c r="AM11" s="28" t="s">
        <v>12</v>
      </c>
      <c r="AN11" s="28" t="s">
        <v>3</v>
      </c>
      <c r="AO11" s="28" t="s">
        <v>2</v>
      </c>
      <c r="AP11" s="28" t="s">
        <v>14</v>
      </c>
      <c r="AQ11" s="28" t="s">
        <v>12</v>
      </c>
      <c r="AR11" s="28" t="s">
        <v>3</v>
      </c>
      <c r="AS11" s="28" t="s">
        <v>2</v>
      </c>
      <c r="AT11" s="28" t="s">
        <v>14</v>
      </c>
      <c r="AU11" s="28" t="s">
        <v>12</v>
      </c>
      <c r="AV11" s="28" t="s">
        <v>3</v>
      </c>
      <c r="AW11" s="28" t="s">
        <v>2</v>
      </c>
      <c r="AX11" s="28" t="s">
        <v>14</v>
      </c>
      <c r="AY11" s="28" t="s">
        <v>12</v>
      </c>
      <c r="AZ11" s="28" t="s">
        <v>3</v>
      </c>
      <c r="BA11" s="28" t="s">
        <v>2</v>
      </c>
      <c r="BB11" s="28" t="s">
        <v>14</v>
      </c>
      <c r="BC11" s="28" t="s">
        <v>12</v>
      </c>
      <c r="BD11" s="40"/>
      <c r="BE11" s="27"/>
      <c r="BF11" s="27"/>
      <c r="BG11" s="27"/>
      <c r="BH11" s="40"/>
      <c r="BI11" s="27"/>
      <c r="BJ11" s="27"/>
    </row>
    <row r="12" spans="1:62" s="32" customFormat="1" x14ac:dyDescent="0.25">
      <c r="A12" s="31">
        <v>1</v>
      </c>
      <c r="B12" s="31" t="s">
        <v>64</v>
      </c>
      <c r="C12" s="31">
        <v>87738102993</v>
      </c>
      <c r="D12" s="31"/>
      <c r="E12" s="31" t="s">
        <v>6</v>
      </c>
      <c r="F12" s="31">
        <v>2025</v>
      </c>
      <c r="G12" s="31" t="s">
        <v>254</v>
      </c>
      <c r="H12" s="31" t="s">
        <v>65</v>
      </c>
      <c r="I12" s="37">
        <v>50996</v>
      </c>
      <c r="J12" s="31" t="s">
        <v>66</v>
      </c>
      <c r="K12" s="31" t="s">
        <v>67</v>
      </c>
      <c r="L12" s="31"/>
      <c r="M12" s="37"/>
      <c r="N12" s="31"/>
      <c r="O12" s="31"/>
      <c r="P12" s="31"/>
      <c r="Q12" s="31"/>
      <c r="R12" s="33"/>
      <c r="S12" s="31"/>
      <c r="T12" s="31"/>
      <c r="U12" s="34"/>
      <c r="V12" s="33"/>
      <c r="W12" s="31"/>
      <c r="X12" s="31"/>
      <c r="Y12" s="31"/>
      <c r="Z12" s="33"/>
      <c r="AA12" s="31"/>
      <c r="AB12" s="31"/>
      <c r="AC12" s="31"/>
      <c r="AD12" s="33"/>
      <c r="AE12" s="31"/>
      <c r="AF12" s="31"/>
      <c r="AG12" s="34"/>
      <c r="AH12" s="33"/>
      <c r="AI12" s="31"/>
      <c r="AJ12" s="31"/>
      <c r="AK12" s="31"/>
      <c r="AL12" s="33"/>
      <c r="AM12" s="31"/>
      <c r="AN12" s="31"/>
      <c r="AO12" s="31"/>
      <c r="AP12" s="33"/>
      <c r="AQ12" s="31"/>
      <c r="AR12" s="31"/>
      <c r="AS12" s="31"/>
      <c r="AT12" s="33"/>
      <c r="AU12" s="31"/>
      <c r="AV12" s="31"/>
      <c r="AW12" s="31"/>
      <c r="AX12" s="33"/>
      <c r="AY12" s="31"/>
      <c r="AZ12" s="31"/>
      <c r="BA12" s="31"/>
      <c r="BB12" s="33"/>
      <c r="BC12" s="31"/>
      <c r="BD12" s="34">
        <f>BA12+AW12+AS12+AO12+AK12+AG12+AC12+Y12+U12+Q12+M12+I12</f>
        <v>50996</v>
      </c>
      <c r="BE12" s="31">
        <f>COUNT(BA12,AW12,AS12,AO12,AK12,AG12,AC12,Y12,U12,Q12,M12,I12)</f>
        <v>1</v>
      </c>
      <c r="BF12" s="31"/>
      <c r="BG12" s="31"/>
      <c r="BH12" s="34">
        <f>AVERAGE(BA12,AW12,AS12,AO12,AK12,AG12,AC12,Y12,U12,Q12,M12,I12)</f>
        <v>50996</v>
      </c>
      <c r="BI12" s="31" t="str">
        <f>IF(BE12&lt;1,"PASIF",IF(BE12&lt;$BJ$9/2,"AKTIF","LOYAL"))</f>
        <v>AKTIF</v>
      </c>
      <c r="BJ12" s="31" t="str">
        <f>IF(BD12&lt;1000000,"SILVER",IF(BD12&lt;=5000000,"GOLD","PLATINUM"))</f>
        <v>SILVER</v>
      </c>
    </row>
    <row r="13" spans="1:62" s="32" customFormat="1" x14ac:dyDescent="0.25">
      <c r="A13" s="31">
        <v>2</v>
      </c>
      <c r="B13" s="31" t="s">
        <v>68</v>
      </c>
      <c r="C13" s="31">
        <v>884845454548</v>
      </c>
      <c r="D13" s="31"/>
      <c r="E13" s="31" t="s">
        <v>6</v>
      </c>
      <c r="F13" s="31">
        <v>2025</v>
      </c>
      <c r="G13" s="31" t="s">
        <v>254</v>
      </c>
      <c r="H13" s="31" t="s">
        <v>69</v>
      </c>
      <c r="I13" s="37">
        <v>100015</v>
      </c>
      <c r="J13" s="31" t="s">
        <v>70</v>
      </c>
      <c r="K13" s="31" t="s">
        <v>67</v>
      </c>
      <c r="L13" s="31"/>
      <c r="M13" s="37"/>
      <c r="N13" s="31"/>
      <c r="O13" s="31"/>
      <c r="P13" s="31"/>
      <c r="Q13" s="34"/>
      <c r="R13" s="33"/>
      <c r="S13" s="31"/>
      <c r="T13" s="31"/>
      <c r="U13" s="34"/>
      <c r="V13" s="33"/>
      <c r="W13" s="31"/>
      <c r="X13" s="31"/>
      <c r="Y13" s="34"/>
      <c r="Z13" s="33"/>
      <c r="AA13" s="31"/>
      <c r="AB13" s="31"/>
      <c r="AC13" s="34"/>
      <c r="AD13" s="33"/>
      <c r="AE13" s="31"/>
      <c r="AF13" s="31"/>
      <c r="AG13" s="34"/>
      <c r="AH13" s="33"/>
      <c r="AI13" s="31"/>
      <c r="AJ13" s="31"/>
      <c r="AK13" s="34"/>
      <c r="AL13" s="33"/>
      <c r="AM13" s="31"/>
      <c r="AN13" s="31"/>
      <c r="AO13" s="34"/>
      <c r="AP13" s="33"/>
      <c r="AQ13" s="31"/>
      <c r="AR13" s="31"/>
      <c r="AS13" s="34"/>
      <c r="AT13" s="33"/>
      <c r="AU13" s="31"/>
      <c r="AV13" s="31"/>
      <c r="AW13" s="34"/>
      <c r="AX13" s="33"/>
      <c r="AY13" s="31"/>
      <c r="AZ13" s="31"/>
      <c r="BA13" s="34"/>
      <c r="BB13" s="33"/>
      <c r="BC13" s="31"/>
      <c r="BD13" s="34">
        <f t="shared" ref="BD13:BD17" si="0">BA13+AW13+AS13+AO13+AK13+AG13+AC13+Y13+U13+Q13+M13+I13</f>
        <v>100015</v>
      </c>
      <c r="BE13" s="31">
        <f t="shared" ref="BE13:BE17" si="1">COUNT(BA13,AW13,AS13,AO13,AK13,AG13,AC13,Y13,U13,Q13,M13,I13)</f>
        <v>1</v>
      </c>
      <c r="BF13" s="31"/>
      <c r="BG13" s="31"/>
      <c r="BH13" s="34">
        <f t="shared" ref="BH13:BH17" si="2">AVERAGE(BA13,AW13,AS13,AO13,AK13,AG13,AC13,Y13,U13,Q13,M13,I13)</f>
        <v>100015</v>
      </c>
      <c r="BI13" s="31" t="str">
        <f t="shared" ref="BI13:BI17" si="3">IF(BE13&lt;1,"PASIF",IF(BE13&lt;$BJ$9/2,"AKTIF","LOYAL"))</f>
        <v>AKTIF</v>
      </c>
      <c r="BJ13" s="31" t="str">
        <f t="shared" ref="BJ13:BJ17" si="4">IF(BD13&lt;1000000,"SILVER",IF(BD13&lt;=5000000,"GOLD","PLATINUM"))</f>
        <v>SILVER</v>
      </c>
    </row>
    <row r="14" spans="1:62" s="32" customFormat="1" x14ac:dyDescent="0.25">
      <c r="A14" s="31">
        <v>3</v>
      </c>
      <c r="B14" s="31" t="s">
        <v>71</v>
      </c>
      <c r="C14" s="31" t="s">
        <v>72</v>
      </c>
      <c r="D14" s="31"/>
      <c r="E14" s="31" t="s">
        <v>6</v>
      </c>
      <c r="F14" s="31">
        <v>2025</v>
      </c>
      <c r="G14" s="31" t="s">
        <v>254</v>
      </c>
      <c r="H14" s="31" t="s">
        <v>73</v>
      </c>
      <c r="I14" s="37">
        <v>50909</v>
      </c>
      <c r="J14" s="31" t="s">
        <v>74</v>
      </c>
      <c r="K14" s="31" t="s">
        <v>67</v>
      </c>
      <c r="L14" s="31"/>
      <c r="M14" s="37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4"/>
      <c r="AH14" s="33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4">
        <f t="shared" si="0"/>
        <v>50909</v>
      </c>
      <c r="BE14" s="31">
        <f t="shared" si="1"/>
        <v>1</v>
      </c>
      <c r="BF14" s="31"/>
      <c r="BG14" s="31"/>
      <c r="BH14" s="34">
        <f t="shared" si="2"/>
        <v>50909</v>
      </c>
      <c r="BI14" s="31" t="str">
        <f>IF(BE14&lt;1,"PASIF",IF(BE14&lt;$BJ$9/2,"AKTIF","LOYAL"))</f>
        <v>AKTIF</v>
      </c>
      <c r="BJ14" s="31" t="str">
        <f>IF(BD14&lt;1000000,"SILVER",IF(BD14&lt;=5000000,"GOLD","PLATINUM"))</f>
        <v>SILVER</v>
      </c>
    </row>
    <row r="15" spans="1:62" s="32" customFormat="1" x14ac:dyDescent="0.25">
      <c r="A15" s="31">
        <v>4</v>
      </c>
      <c r="B15" s="31" t="s">
        <v>75</v>
      </c>
      <c r="C15" s="31" t="s">
        <v>76</v>
      </c>
      <c r="D15" s="31"/>
      <c r="E15" s="31" t="s">
        <v>6</v>
      </c>
      <c r="F15" s="31">
        <v>2025</v>
      </c>
      <c r="G15" s="31" t="s">
        <v>254</v>
      </c>
      <c r="H15" s="31" t="s">
        <v>77</v>
      </c>
      <c r="I15" s="37">
        <v>100936</v>
      </c>
      <c r="J15" s="31" t="s">
        <v>78</v>
      </c>
      <c r="K15" s="31" t="s">
        <v>79</v>
      </c>
      <c r="L15" s="31"/>
      <c r="M15" s="37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4"/>
      <c r="AH15" s="31"/>
      <c r="AI15" s="31"/>
      <c r="AJ15" s="31"/>
      <c r="AK15" s="31"/>
      <c r="AL15" s="31"/>
      <c r="AM15" s="31"/>
      <c r="AN15" s="31"/>
      <c r="AO15" s="34"/>
      <c r="AP15" s="33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4">
        <f t="shared" si="0"/>
        <v>100936</v>
      </c>
      <c r="BE15" s="31">
        <f t="shared" si="1"/>
        <v>1</v>
      </c>
      <c r="BF15" s="31"/>
      <c r="BG15" s="31"/>
      <c r="BH15" s="34">
        <f t="shared" si="2"/>
        <v>100936</v>
      </c>
      <c r="BI15" s="31" t="str">
        <f t="shared" si="3"/>
        <v>AKTIF</v>
      </c>
      <c r="BJ15" s="31" t="str">
        <f t="shared" si="4"/>
        <v>SILVER</v>
      </c>
    </row>
    <row r="16" spans="1:62" s="32" customFormat="1" x14ac:dyDescent="0.25">
      <c r="A16" s="31">
        <v>5</v>
      </c>
      <c r="B16" s="31" t="s">
        <v>80</v>
      </c>
      <c r="C16" s="31" t="s">
        <v>81</v>
      </c>
      <c r="D16" s="31"/>
      <c r="E16" s="31" t="s">
        <v>6</v>
      </c>
      <c r="F16" s="31">
        <v>2025</v>
      </c>
      <c r="G16" s="31" t="s">
        <v>254</v>
      </c>
      <c r="H16" s="31" t="s">
        <v>65</v>
      </c>
      <c r="I16" s="37">
        <v>30949</v>
      </c>
      <c r="J16" s="31" t="s">
        <v>82</v>
      </c>
      <c r="K16" s="31" t="s">
        <v>67</v>
      </c>
      <c r="L16" s="31"/>
      <c r="M16" s="37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4"/>
      <c r="Z16" s="33"/>
      <c r="AA16" s="31"/>
      <c r="AB16" s="31"/>
      <c r="AC16" s="34"/>
      <c r="AD16" s="33"/>
      <c r="AE16" s="31"/>
      <c r="AF16" s="31"/>
      <c r="AG16" s="34"/>
      <c r="AH16" s="33"/>
      <c r="AI16" s="31"/>
      <c r="AJ16" s="31"/>
      <c r="AK16" s="34"/>
      <c r="AL16" s="33"/>
      <c r="AM16" s="31"/>
      <c r="AN16" s="31"/>
      <c r="AO16" s="34"/>
      <c r="AP16" s="33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4">
        <f t="shared" si="0"/>
        <v>30949</v>
      </c>
      <c r="BE16" s="31">
        <f t="shared" si="1"/>
        <v>1</v>
      </c>
      <c r="BF16" s="31"/>
      <c r="BG16" s="31"/>
      <c r="BH16" s="34">
        <f t="shared" si="2"/>
        <v>30949</v>
      </c>
      <c r="BI16" s="31" t="str">
        <f t="shared" si="3"/>
        <v>AKTIF</v>
      </c>
      <c r="BJ16" s="31" t="str">
        <f t="shared" si="4"/>
        <v>SILVER</v>
      </c>
    </row>
    <row r="17" spans="1:62" s="32" customFormat="1" x14ac:dyDescent="0.25">
      <c r="A17" s="31">
        <v>6</v>
      </c>
      <c r="B17" s="31" t="s">
        <v>83</v>
      </c>
      <c r="C17" s="31" t="s">
        <v>84</v>
      </c>
      <c r="D17" s="31"/>
      <c r="E17" s="31" t="s">
        <v>6</v>
      </c>
      <c r="F17" s="31">
        <v>2025</v>
      </c>
      <c r="G17" s="31" t="s">
        <v>254</v>
      </c>
      <c r="H17" s="31" t="s">
        <v>85</v>
      </c>
      <c r="I17" s="37">
        <v>82977</v>
      </c>
      <c r="J17" s="31" t="s">
        <v>86</v>
      </c>
      <c r="K17" s="31" t="s">
        <v>67</v>
      </c>
      <c r="L17" s="31" t="s">
        <v>412</v>
      </c>
      <c r="M17" s="37">
        <v>150973</v>
      </c>
      <c r="N17" s="31" t="s">
        <v>413</v>
      </c>
      <c r="O17" s="31" t="s">
        <v>99</v>
      </c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4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4">
        <f t="shared" si="0"/>
        <v>233950</v>
      </c>
      <c r="BE17" s="31">
        <f t="shared" si="1"/>
        <v>2</v>
      </c>
      <c r="BF17" s="31"/>
      <c r="BG17" s="31"/>
      <c r="BH17" s="34">
        <f t="shared" si="2"/>
        <v>116975</v>
      </c>
      <c r="BI17" s="31" t="str">
        <f t="shared" si="3"/>
        <v>AKTIF</v>
      </c>
      <c r="BJ17" s="31" t="str">
        <f t="shared" si="4"/>
        <v>SILVER</v>
      </c>
    </row>
    <row r="18" spans="1:62" s="32" customFormat="1" x14ac:dyDescent="0.25">
      <c r="A18" s="31">
        <v>7</v>
      </c>
      <c r="B18" s="31" t="s">
        <v>87</v>
      </c>
      <c r="C18" s="31" t="s">
        <v>88</v>
      </c>
      <c r="D18" s="31"/>
      <c r="E18" s="31" t="s">
        <v>6</v>
      </c>
      <c r="F18" s="31">
        <v>2025</v>
      </c>
      <c r="G18" s="31" t="s">
        <v>254</v>
      </c>
      <c r="H18" s="31" t="s">
        <v>73</v>
      </c>
      <c r="I18" s="37">
        <v>50911</v>
      </c>
      <c r="J18" s="31" t="s">
        <v>89</v>
      </c>
      <c r="K18" s="31" t="s">
        <v>67</v>
      </c>
      <c r="L18" s="31"/>
      <c r="M18" s="37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4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4">
        <f t="shared" ref="BD18:BD69" si="5">BA18+AW18+AS18+AO18+AK18+AG18+AC18+Y18+U18+Q18+M18+I18</f>
        <v>50911</v>
      </c>
      <c r="BE18" s="31">
        <f t="shared" ref="BE18:BE69" si="6">COUNT(BA18,AW18,AS18,AO18,AK18,AG18,AC18,Y18,U18,Q18,M18,I18)</f>
        <v>1</v>
      </c>
      <c r="BF18" s="31"/>
      <c r="BG18" s="31"/>
      <c r="BH18" s="34">
        <f t="shared" ref="BH18:BH69" si="7">AVERAGE(BA18,AW18,AS18,AO18,AK18,AG18,AC18,Y18,U18,Q18,M18,I18)</f>
        <v>50911</v>
      </c>
      <c r="BI18" s="31" t="str">
        <f t="shared" ref="BI18:BI69" si="8">IF(BE18&lt;1,"PASIF",IF(BE18&lt;$BJ$9/2,"AKTIF","LOYAL"))</f>
        <v>AKTIF</v>
      </c>
      <c r="BJ18" s="31" t="str">
        <f t="shared" ref="BJ18:BJ69" si="9">IF(BD18&lt;1000000,"SILVER",IF(BD18&lt;=5000000,"GOLD","PLATINUM"))</f>
        <v>SILVER</v>
      </c>
    </row>
    <row r="19" spans="1:62" s="32" customFormat="1" x14ac:dyDescent="0.25">
      <c r="A19" s="31">
        <v>8</v>
      </c>
      <c r="B19" s="31" t="s">
        <v>90</v>
      </c>
      <c r="C19" s="31" t="s">
        <v>91</v>
      </c>
      <c r="D19" s="31"/>
      <c r="E19" s="31" t="s">
        <v>6</v>
      </c>
      <c r="F19" s="31">
        <v>2025</v>
      </c>
      <c r="G19" s="31" t="s">
        <v>254</v>
      </c>
      <c r="H19" s="31" t="s">
        <v>73</v>
      </c>
      <c r="I19" s="37">
        <v>50000</v>
      </c>
      <c r="J19" s="31" t="s">
        <v>92</v>
      </c>
      <c r="K19" s="31" t="s">
        <v>67</v>
      </c>
      <c r="L19" s="31"/>
      <c r="M19" s="37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4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4">
        <f t="shared" si="5"/>
        <v>50000</v>
      </c>
      <c r="BE19" s="31">
        <f t="shared" si="6"/>
        <v>1</v>
      </c>
      <c r="BF19" s="31"/>
      <c r="BG19" s="31"/>
      <c r="BH19" s="34">
        <f t="shared" si="7"/>
        <v>50000</v>
      </c>
      <c r="BI19" s="31" t="str">
        <f t="shared" si="8"/>
        <v>AKTIF</v>
      </c>
      <c r="BJ19" s="31" t="str">
        <f t="shared" si="9"/>
        <v>SILVER</v>
      </c>
    </row>
    <row r="20" spans="1:62" s="32" customFormat="1" x14ac:dyDescent="0.25">
      <c r="A20" s="31">
        <v>9</v>
      </c>
      <c r="B20" s="31" t="s">
        <v>93</v>
      </c>
      <c r="C20" s="31" t="s">
        <v>94</v>
      </c>
      <c r="D20" s="31"/>
      <c r="E20" s="31" t="s">
        <v>6</v>
      </c>
      <c r="F20" s="31">
        <v>2025</v>
      </c>
      <c r="G20" s="31" t="s">
        <v>254</v>
      </c>
      <c r="H20" s="31" t="s">
        <v>73</v>
      </c>
      <c r="I20" s="37">
        <v>2000923</v>
      </c>
      <c r="J20" s="31" t="s">
        <v>95</v>
      </c>
      <c r="K20" s="31" t="s">
        <v>67</v>
      </c>
      <c r="L20" s="31"/>
      <c r="M20" s="37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4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4">
        <f t="shared" si="5"/>
        <v>2000923</v>
      </c>
      <c r="BE20" s="31">
        <f t="shared" si="6"/>
        <v>1</v>
      </c>
      <c r="BF20" s="31"/>
      <c r="BG20" s="31"/>
      <c r="BH20" s="34">
        <f t="shared" si="7"/>
        <v>2000923</v>
      </c>
      <c r="BI20" s="31" t="str">
        <f t="shared" si="8"/>
        <v>AKTIF</v>
      </c>
      <c r="BJ20" s="31" t="str">
        <f t="shared" si="9"/>
        <v>GOLD</v>
      </c>
    </row>
    <row r="21" spans="1:62" s="32" customFormat="1" x14ac:dyDescent="0.25">
      <c r="A21" s="31">
        <v>10</v>
      </c>
      <c r="B21" s="31" t="s">
        <v>96</v>
      </c>
      <c r="C21" s="31" t="s">
        <v>97</v>
      </c>
      <c r="D21" s="31"/>
      <c r="E21" s="31" t="s">
        <v>6</v>
      </c>
      <c r="F21" s="31">
        <v>2025</v>
      </c>
      <c r="G21" s="31" t="s">
        <v>254</v>
      </c>
      <c r="H21" s="31" t="s">
        <v>65</v>
      </c>
      <c r="I21" s="37">
        <v>50976</v>
      </c>
      <c r="J21" s="31" t="s">
        <v>98</v>
      </c>
      <c r="K21" s="31" t="s">
        <v>99</v>
      </c>
      <c r="L21" s="31"/>
      <c r="M21" s="37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4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4">
        <f t="shared" si="5"/>
        <v>50976</v>
      </c>
      <c r="BE21" s="31">
        <f t="shared" si="6"/>
        <v>1</v>
      </c>
      <c r="BF21" s="31"/>
      <c r="BG21" s="31"/>
      <c r="BH21" s="34">
        <f t="shared" si="7"/>
        <v>50976</v>
      </c>
      <c r="BI21" s="31" t="str">
        <f t="shared" si="8"/>
        <v>AKTIF</v>
      </c>
      <c r="BJ21" s="31" t="str">
        <f t="shared" si="9"/>
        <v>SILVER</v>
      </c>
    </row>
    <row r="22" spans="1:62" s="32" customFormat="1" x14ac:dyDescent="0.25">
      <c r="A22" s="31">
        <v>11</v>
      </c>
      <c r="B22" s="31" t="s">
        <v>100</v>
      </c>
      <c r="C22" s="31" t="s">
        <v>101</v>
      </c>
      <c r="D22" s="31"/>
      <c r="E22" s="31" t="s">
        <v>6</v>
      </c>
      <c r="F22" s="31">
        <v>2025</v>
      </c>
      <c r="G22" s="31" t="s">
        <v>254</v>
      </c>
      <c r="H22" s="31" t="s">
        <v>77</v>
      </c>
      <c r="I22" s="37">
        <v>100000</v>
      </c>
      <c r="J22" s="31" t="s">
        <v>102</v>
      </c>
      <c r="K22" s="31" t="s">
        <v>67</v>
      </c>
      <c r="L22" s="31"/>
      <c r="M22" s="37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4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4">
        <f t="shared" si="5"/>
        <v>100000</v>
      </c>
      <c r="BE22" s="31">
        <f t="shared" si="6"/>
        <v>1</v>
      </c>
      <c r="BF22" s="31"/>
      <c r="BG22" s="31"/>
      <c r="BH22" s="34">
        <f t="shared" si="7"/>
        <v>100000</v>
      </c>
      <c r="BI22" s="31" t="str">
        <f t="shared" si="8"/>
        <v>AKTIF</v>
      </c>
      <c r="BJ22" s="31" t="str">
        <f t="shared" si="9"/>
        <v>SILVER</v>
      </c>
    </row>
    <row r="23" spans="1:62" s="32" customFormat="1" x14ac:dyDescent="0.25">
      <c r="A23" s="31">
        <v>12</v>
      </c>
      <c r="B23" s="31" t="s">
        <v>103</v>
      </c>
      <c r="C23" s="31" t="s">
        <v>104</v>
      </c>
      <c r="D23" s="31"/>
      <c r="E23" s="31" t="s">
        <v>6</v>
      </c>
      <c r="F23" s="31">
        <v>2025</v>
      </c>
      <c r="G23" s="31" t="s">
        <v>254</v>
      </c>
      <c r="H23" s="31" t="s">
        <v>77</v>
      </c>
      <c r="I23" s="37">
        <v>25926</v>
      </c>
      <c r="J23" s="31" t="s">
        <v>105</v>
      </c>
      <c r="K23" s="31" t="s">
        <v>106</v>
      </c>
      <c r="L23" s="31"/>
      <c r="M23" s="37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4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4">
        <f t="shared" si="5"/>
        <v>25926</v>
      </c>
      <c r="BE23" s="31">
        <f t="shared" si="6"/>
        <v>1</v>
      </c>
      <c r="BF23" s="31"/>
      <c r="BG23" s="31"/>
      <c r="BH23" s="34">
        <f t="shared" si="7"/>
        <v>25926</v>
      </c>
      <c r="BI23" s="31" t="str">
        <f t="shared" si="8"/>
        <v>AKTIF</v>
      </c>
      <c r="BJ23" s="31" t="str">
        <f t="shared" si="9"/>
        <v>SILVER</v>
      </c>
    </row>
    <row r="24" spans="1:62" s="32" customFormat="1" x14ac:dyDescent="0.25">
      <c r="A24" s="31">
        <v>13</v>
      </c>
      <c r="B24" s="31" t="s">
        <v>107</v>
      </c>
      <c r="C24" s="31" t="s">
        <v>108</v>
      </c>
      <c r="D24" s="31"/>
      <c r="E24" s="31" t="s">
        <v>6</v>
      </c>
      <c r="F24" s="31">
        <v>2025</v>
      </c>
      <c r="G24" s="31" t="s">
        <v>254</v>
      </c>
      <c r="H24" s="31" t="s">
        <v>109</v>
      </c>
      <c r="I24" s="37">
        <v>450154</v>
      </c>
      <c r="J24" s="31" t="s">
        <v>110</v>
      </c>
      <c r="K24" s="31" t="s">
        <v>111</v>
      </c>
      <c r="L24" s="31" t="s">
        <v>580</v>
      </c>
      <c r="M24" s="37">
        <v>250913</v>
      </c>
      <c r="N24" s="31" t="s">
        <v>581</v>
      </c>
      <c r="O24" s="31" t="s">
        <v>111</v>
      </c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4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4">
        <f t="shared" si="5"/>
        <v>701067</v>
      </c>
      <c r="BE24" s="31">
        <f t="shared" si="6"/>
        <v>2</v>
      </c>
      <c r="BF24" s="31"/>
      <c r="BG24" s="31"/>
      <c r="BH24" s="34">
        <f t="shared" si="7"/>
        <v>350533.5</v>
      </c>
      <c r="BI24" s="31" t="str">
        <f t="shared" si="8"/>
        <v>AKTIF</v>
      </c>
      <c r="BJ24" s="31" t="str">
        <f t="shared" si="9"/>
        <v>SILVER</v>
      </c>
    </row>
    <row r="25" spans="1:62" s="32" customFormat="1" x14ac:dyDescent="0.25">
      <c r="A25" s="31">
        <v>14</v>
      </c>
      <c r="B25" s="31" t="s">
        <v>112</v>
      </c>
      <c r="C25" s="31" t="s">
        <v>113</v>
      </c>
      <c r="D25" s="31"/>
      <c r="E25" s="31" t="s">
        <v>6</v>
      </c>
      <c r="F25" s="31">
        <v>2025</v>
      </c>
      <c r="G25" s="31" t="s">
        <v>254</v>
      </c>
      <c r="H25" s="31" t="s">
        <v>109</v>
      </c>
      <c r="I25" s="37">
        <v>275842</v>
      </c>
      <c r="J25" s="31" t="s">
        <v>114</v>
      </c>
      <c r="K25" s="31" t="s">
        <v>111</v>
      </c>
      <c r="L25" s="31" t="s">
        <v>109</v>
      </c>
      <c r="M25" s="37">
        <v>275443</v>
      </c>
      <c r="N25" s="31" t="s">
        <v>590</v>
      </c>
      <c r="O25" s="31" t="s">
        <v>111</v>
      </c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4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4">
        <f t="shared" si="5"/>
        <v>551285</v>
      </c>
      <c r="BE25" s="31">
        <f t="shared" si="6"/>
        <v>2</v>
      </c>
      <c r="BF25" s="31"/>
      <c r="BG25" s="31"/>
      <c r="BH25" s="34">
        <f t="shared" si="7"/>
        <v>275642.5</v>
      </c>
      <c r="BI25" s="31" t="str">
        <f t="shared" si="8"/>
        <v>AKTIF</v>
      </c>
      <c r="BJ25" s="31" t="str">
        <f t="shared" si="9"/>
        <v>SILVER</v>
      </c>
    </row>
    <row r="26" spans="1:62" s="32" customFormat="1" x14ac:dyDescent="0.25">
      <c r="A26" s="31">
        <v>15</v>
      </c>
      <c r="B26" s="31" t="s">
        <v>115</v>
      </c>
      <c r="C26" s="31" t="s">
        <v>116</v>
      </c>
      <c r="D26" s="31"/>
      <c r="E26" s="31" t="s">
        <v>6</v>
      </c>
      <c r="F26" s="31">
        <v>2025</v>
      </c>
      <c r="G26" s="31" t="s">
        <v>254</v>
      </c>
      <c r="H26" s="31" t="s">
        <v>77</v>
      </c>
      <c r="I26" s="37">
        <v>50916</v>
      </c>
      <c r="J26" s="31" t="s">
        <v>117</v>
      </c>
      <c r="K26" s="31" t="s">
        <v>111</v>
      </c>
      <c r="L26" s="31"/>
      <c r="M26" s="37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4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4">
        <f t="shared" si="5"/>
        <v>50916</v>
      </c>
      <c r="BE26" s="31">
        <f t="shared" si="6"/>
        <v>1</v>
      </c>
      <c r="BF26" s="31"/>
      <c r="BG26" s="31"/>
      <c r="BH26" s="34">
        <f t="shared" si="7"/>
        <v>50916</v>
      </c>
      <c r="BI26" s="31" t="str">
        <f t="shared" si="8"/>
        <v>AKTIF</v>
      </c>
      <c r="BJ26" s="31" t="str">
        <f t="shared" si="9"/>
        <v>SILVER</v>
      </c>
    </row>
    <row r="27" spans="1:62" s="32" customFormat="1" x14ac:dyDescent="0.25">
      <c r="A27" s="31">
        <v>16</v>
      </c>
      <c r="B27" s="31" t="s">
        <v>118</v>
      </c>
      <c r="C27" s="31" t="s">
        <v>119</v>
      </c>
      <c r="D27" s="31"/>
      <c r="E27" s="31" t="s">
        <v>6</v>
      </c>
      <c r="F27" s="31">
        <v>2025</v>
      </c>
      <c r="G27" s="31" t="s">
        <v>254</v>
      </c>
      <c r="H27" s="31" t="s">
        <v>120</v>
      </c>
      <c r="I27" s="37">
        <v>50997</v>
      </c>
      <c r="J27" s="31" t="s">
        <v>121</v>
      </c>
      <c r="K27" s="31" t="s">
        <v>106</v>
      </c>
      <c r="L27" s="31"/>
      <c r="M27" s="37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4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4">
        <f t="shared" si="5"/>
        <v>50997</v>
      </c>
      <c r="BE27" s="31">
        <f t="shared" si="6"/>
        <v>1</v>
      </c>
      <c r="BF27" s="31"/>
      <c r="BG27" s="31"/>
      <c r="BH27" s="34">
        <f t="shared" si="7"/>
        <v>50997</v>
      </c>
      <c r="BI27" s="31" t="str">
        <f t="shared" si="8"/>
        <v>AKTIF</v>
      </c>
      <c r="BJ27" s="31" t="str">
        <f t="shared" si="9"/>
        <v>SILVER</v>
      </c>
    </row>
    <row r="28" spans="1:62" s="32" customFormat="1" x14ac:dyDescent="0.25">
      <c r="A28" s="31">
        <v>17</v>
      </c>
      <c r="B28" s="31" t="s">
        <v>122</v>
      </c>
      <c r="C28" s="31" t="s">
        <v>123</v>
      </c>
      <c r="D28" s="31"/>
      <c r="E28" s="31" t="s">
        <v>6</v>
      </c>
      <c r="F28" s="31">
        <v>2025</v>
      </c>
      <c r="G28" s="31" t="s">
        <v>254</v>
      </c>
      <c r="H28" s="31" t="s">
        <v>65</v>
      </c>
      <c r="I28" s="37">
        <v>30997</v>
      </c>
      <c r="J28" s="31" t="s">
        <v>124</v>
      </c>
      <c r="K28" s="31" t="s">
        <v>67</v>
      </c>
      <c r="L28" s="31"/>
      <c r="M28" s="37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4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4">
        <f t="shared" si="5"/>
        <v>30997</v>
      </c>
      <c r="BE28" s="31">
        <f t="shared" si="6"/>
        <v>1</v>
      </c>
      <c r="BF28" s="31"/>
      <c r="BG28" s="31"/>
      <c r="BH28" s="34">
        <f t="shared" si="7"/>
        <v>30997</v>
      </c>
      <c r="BI28" s="31" t="str">
        <f t="shared" si="8"/>
        <v>AKTIF</v>
      </c>
      <c r="BJ28" s="31" t="str">
        <f t="shared" si="9"/>
        <v>SILVER</v>
      </c>
    </row>
    <row r="29" spans="1:62" s="32" customFormat="1" x14ac:dyDescent="0.25">
      <c r="A29" s="31">
        <v>18</v>
      </c>
      <c r="B29" s="31" t="s">
        <v>125</v>
      </c>
      <c r="C29" s="31" t="s">
        <v>126</v>
      </c>
      <c r="D29" s="31"/>
      <c r="E29" s="31" t="s">
        <v>6</v>
      </c>
      <c r="F29" s="31">
        <v>2025</v>
      </c>
      <c r="G29" s="31" t="s">
        <v>254</v>
      </c>
      <c r="H29" s="31" t="s">
        <v>73</v>
      </c>
      <c r="I29" s="37">
        <v>500000</v>
      </c>
      <c r="J29" s="31" t="s">
        <v>127</v>
      </c>
      <c r="K29" s="31" t="s">
        <v>67</v>
      </c>
      <c r="L29" s="31"/>
      <c r="M29" s="37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4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4">
        <f t="shared" si="5"/>
        <v>500000</v>
      </c>
      <c r="BE29" s="31">
        <f t="shared" si="6"/>
        <v>1</v>
      </c>
      <c r="BF29" s="31"/>
      <c r="BG29" s="31"/>
      <c r="BH29" s="34">
        <f t="shared" si="7"/>
        <v>500000</v>
      </c>
      <c r="BI29" s="31" t="str">
        <f t="shared" si="8"/>
        <v>AKTIF</v>
      </c>
      <c r="BJ29" s="31" t="str">
        <f t="shared" si="9"/>
        <v>SILVER</v>
      </c>
    </row>
    <row r="30" spans="1:62" s="32" customFormat="1" x14ac:dyDescent="0.25">
      <c r="A30" s="31">
        <v>19</v>
      </c>
      <c r="B30" s="31" t="s">
        <v>128</v>
      </c>
      <c r="C30" s="31" t="s">
        <v>129</v>
      </c>
      <c r="D30" s="31"/>
      <c r="E30" s="31" t="s">
        <v>6</v>
      </c>
      <c r="F30" s="31">
        <v>2025</v>
      </c>
      <c r="G30" s="31" t="s">
        <v>254</v>
      </c>
      <c r="H30" s="31" t="s">
        <v>130</v>
      </c>
      <c r="I30" s="37">
        <v>165930</v>
      </c>
      <c r="J30" s="31" t="s">
        <v>131</v>
      </c>
      <c r="K30" s="31" t="s">
        <v>79</v>
      </c>
      <c r="L30" s="31"/>
      <c r="M30" s="37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4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4">
        <f t="shared" si="5"/>
        <v>165930</v>
      </c>
      <c r="BE30" s="31">
        <f t="shared" si="6"/>
        <v>1</v>
      </c>
      <c r="BF30" s="31"/>
      <c r="BG30" s="31"/>
      <c r="BH30" s="34">
        <f t="shared" si="7"/>
        <v>165930</v>
      </c>
      <c r="BI30" s="31" t="str">
        <f t="shared" si="8"/>
        <v>AKTIF</v>
      </c>
      <c r="BJ30" s="31" t="str">
        <f t="shared" si="9"/>
        <v>SILVER</v>
      </c>
    </row>
    <row r="31" spans="1:62" s="32" customFormat="1" x14ac:dyDescent="0.25">
      <c r="A31" s="31">
        <v>20</v>
      </c>
      <c r="B31" s="31" t="s">
        <v>132</v>
      </c>
      <c r="C31" s="31" t="s">
        <v>133</v>
      </c>
      <c r="D31" s="31"/>
      <c r="E31" s="31" t="s">
        <v>6</v>
      </c>
      <c r="F31" s="31">
        <v>2025</v>
      </c>
      <c r="G31" s="31" t="s">
        <v>254</v>
      </c>
      <c r="H31" s="31" t="s">
        <v>69</v>
      </c>
      <c r="I31" s="37">
        <v>30090</v>
      </c>
      <c r="J31" s="31" t="s">
        <v>134</v>
      </c>
      <c r="K31" s="31" t="s">
        <v>106</v>
      </c>
      <c r="L31" s="31"/>
      <c r="M31" s="37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4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4">
        <f t="shared" si="5"/>
        <v>30090</v>
      </c>
      <c r="BE31" s="31">
        <f t="shared" si="6"/>
        <v>1</v>
      </c>
      <c r="BF31" s="31"/>
      <c r="BG31" s="31"/>
      <c r="BH31" s="34">
        <f t="shared" si="7"/>
        <v>30090</v>
      </c>
      <c r="BI31" s="31" t="str">
        <f t="shared" si="8"/>
        <v>AKTIF</v>
      </c>
      <c r="BJ31" s="31" t="str">
        <f t="shared" si="9"/>
        <v>SILVER</v>
      </c>
    </row>
    <row r="32" spans="1:62" s="32" customFormat="1" x14ac:dyDescent="0.25">
      <c r="A32" s="31">
        <v>21</v>
      </c>
      <c r="B32" s="31" t="s">
        <v>135</v>
      </c>
      <c r="C32" s="31" t="s">
        <v>136</v>
      </c>
      <c r="D32" s="31"/>
      <c r="E32" s="31" t="s">
        <v>6</v>
      </c>
      <c r="F32" s="31">
        <v>2025</v>
      </c>
      <c r="G32" s="31" t="s">
        <v>254</v>
      </c>
      <c r="H32" s="31" t="s">
        <v>77</v>
      </c>
      <c r="I32" s="37">
        <v>50924</v>
      </c>
      <c r="J32" s="31" t="s">
        <v>137</v>
      </c>
      <c r="K32" s="31" t="s">
        <v>106</v>
      </c>
      <c r="L32" s="31"/>
      <c r="M32" s="37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4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4">
        <f t="shared" si="5"/>
        <v>50924</v>
      </c>
      <c r="BE32" s="31">
        <f t="shared" si="6"/>
        <v>1</v>
      </c>
      <c r="BF32" s="31"/>
      <c r="BG32" s="31"/>
      <c r="BH32" s="34">
        <f t="shared" si="7"/>
        <v>50924</v>
      </c>
      <c r="BI32" s="31" t="str">
        <f t="shared" si="8"/>
        <v>AKTIF</v>
      </c>
      <c r="BJ32" s="31" t="str">
        <f t="shared" si="9"/>
        <v>SILVER</v>
      </c>
    </row>
    <row r="33" spans="1:62" s="32" customFormat="1" x14ac:dyDescent="0.25">
      <c r="A33" s="31">
        <v>22</v>
      </c>
      <c r="B33" s="31" t="s">
        <v>90</v>
      </c>
      <c r="C33" s="31" t="s">
        <v>138</v>
      </c>
      <c r="D33" s="31"/>
      <c r="E33" s="31" t="s">
        <v>6</v>
      </c>
      <c r="F33" s="31">
        <v>2025</v>
      </c>
      <c r="G33" s="31" t="s">
        <v>254</v>
      </c>
      <c r="H33" s="31" t="s">
        <v>73</v>
      </c>
      <c r="I33" s="37">
        <v>100977</v>
      </c>
      <c r="J33" s="31" t="s">
        <v>139</v>
      </c>
      <c r="K33" s="31" t="s">
        <v>67</v>
      </c>
      <c r="L33" s="31"/>
      <c r="M33" s="37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4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4">
        <f t="shared" si="5"/>
        <v>100977</v>
      </c>
      <c r="BE33" s="31">
        <f t="shared" si="6"/>
        <v>1</v>
      </c>
      <c r="BF33" s="31"/>
      <c r="BG33" s="31"/>
      <c r="BH33" s="34">
        <f t="shared" si="7"/>
        <v>100977</v>
      </c>
      <c r="BI33" s="31" t="str">
        <f t="shared" si="8"/>
        <v>AKTIF</v>
      </c>
      <c r="BJ33" s="31" t="str">
        <f t="shared" si="9"/>
        <v>SILVER</v>
      </c>
    </row>
    <row r="34" spans="1:62" s="32" customFormat="1" x14ac:dyDescent="0.25">
      <c r="A34" s="31">
        <v>23</v>
      </c>
      <c r="B34" s="31" t="s">
        <v>140</v>
      </c>
      <c r="C34" s="31" t="s">
        <v>141</v>
      </c>
      <c r="D34" s="31"/>
      <c r="E34" s="31" t="s">
        <v>6</v>
      </c>
      <c r="F34" s="31">
        <v>2025</v>
      </c>
      <c r="G34" s="31" t="s">
        <v>254</v>
      </c>
      <c r="H34" s="31" t="s">
        <v>73</v>
      </c>
      <c r="I34" s="37">
        <v>50934</v>
      </c>
      <c r="J34" s="31" t="s">
        <v>142</v>
      </c>
      <c r="K34" s="31" t="s">
        <v>79</v>
      </c>
      <c r="L34" s="31"/>
      <c r="M34" s="37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4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4">
        <f t="shared" si="5"/>
        <v>50934</v>
      </c>
      <c r="BE34" s="31">
        <f t="shared" si="6"/>
        <v>1</v>
      </c>
      <c r="BF34" s="31"/>
      <c r="BG34" s="31"/>
      <c r="BH34" s="34">
        <f t="shared" si="7"/>
        <v>50934</v>
      </c>
      <c r="BI34" s="31" t="str">
        <f t="shared" si="8"/>
        <v>AKTIF</v>
      </c>
      <c r="BJ34" s="31" t="str">
        <f t="shared" si="9"/>
        <v>SILVER</v>
      </c>
    </row>
    <row r="35" spans="1:62" s="32" customFormat="1" x14ac:dyDescent="0.25">
      <c r="A35" s="31">
        <v>24</v>
      </c>
      <c r="B35" s="31" t="s">
        <v>143</v>
      </c>
      <c r="C35" s="31" t="s">
        <v>144</v>
      </c>
      <c r="D35" s="31"/>
      <c r="E35" s="31" t="s">
        <v>6</v>
      </c>
      <c r="F35" s="31">
        <v>2025</v>
      </c>
      <c r="G35" s="31" t="s">
        <v>254</v>
      </c>
      <c r="H35" s="31" t="s">
        <v>120</v>
      </c>
      <c r="I35" s="37">
        <v>50957</v>
      </c>
      <c r="J35" s="31" t="s">
        <v>145</v>
      </c>
      <c r="K35" s="31" t="s">
        <v>146</v>
      </c>
      <c r="L35" s="31"/>
      <c r="M35" s="37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4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4">
        <f t="shared" si="5"/>
        <v>50957</v>
      </c>
      <c r="BE35" s="31">
        <f t="shared" si="6"/>
        <v>1</v>
      </c>
      <c r="BF35" s="31"/>
      <c r="BG35" s="31"/>
      <c r="BH35" s="34">
        <f t="shared" si="7"/>
        <v>50957</v>
      </c>
      <c r="BI35" s="31" t="str">
        <f t="shared" si="8"/>
        <v>AKTIF</v>
      </c>
      <c r="BJ35" s="31" t="str">
        <f t="shared" si="9"/>
        <v>SILVER</v>
      </c>
    </row>
    <row r="36" spans="1:62" s="32" customFormat="1" x14ac:dyDescent="0.25">
      <c r="A36" s="31">
        <v>25</v>
      </c>
      <c r="B36" s="31" t="s">
        <v>147</v>
      </c>
      <c r="C36" s="31" t="s">
        <v>148</v>
      </c>
      <c r="D36" s="31"/>
      <c r="E36" s="31" t="s">
        <v>6</v>
      </c>
      <c r="F36" s="31">
        <v>2025</v>
      </c>
      <c r="G36" s="31" t="s">
        <v>254</v>
      </c>
      <c r="H36" s="31" t="s">
        <v>65</v>
      </c>
      <c r="I36" s="37">
        <v>30964</v>
      </c>
      <c r="J36" s="31" t="s">
        <v>149</v>
      </c>
      <c r="K36" s="31" t="s">
        <v>111</v>
      </c>
      <c r="L36" s="31"/>
      <c r="M36" s="37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4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4">
        <f t="shared" si="5"/>
        <v>30964</v>
      </c>
      <c r="BE36" s="31">
        <f t="shared" si="6"/>
        <v>1</v>
      </c>
      <c r="BF36" s="31"/>
      <c r="BG36" s="31"/>
      <c r="BH36" s="34">
        <f t="shared" si="7"/>
        <v>30964</v>
      </c>
      <c r="BI36" s="31" t="str">
        <f t="shared" si="8"/>
        <v>AKTIF</v>
      </c>
      <c r="BJ36" s="31" t="str">
        <f t="shared" si="9"/>
        <v>SILVER</v>
      </c>
    </row>
    <row r="37" spans="1:62" s="32" customFormat="1" x14ac:dyDescent="0.25">
      <c r="A37" s="31">
        <v>26</v>
      </c>
      <c r="B37" s="31" t="s">
        <v>150</v>
      </c>
      <c r="C37" s="31" t="s">
        <v>151</v>
      </c>
      <c r="D37" s="31"/>
      <c r="E37" s="31" t="s">
        <v>6</v>
      </c>
      <c r="F37" s="31">
        <v>2025</v>
      </c>
      <c r="G37" s="31" t="s">
        <v>254</v>
      </c>
      <c r="H37" s="31" t="s">
        <v>77</v>
      </c>
      <c r="I37" s="37">
        <v>25982</v>
      </c>
      <c r="J37" s="31" t="s">
        <v>152</v>
      </c>
      <c r="K37" s="31" t="s">
        <v>79</v>
      </c>
      <c r="L37" s="31"/>
      <c r="M37" s="37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4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4">
        <f t="shared" si="5"/>
        <v>25982</v>
      </c>
      <c r="BE37" s="31">
        <f t="shared" si="6"/>
        <v>1</v>
      </c>
      <c r="BF37" s="31"/>
      <c r="BG37" s="31"/>
      <c r="BH37" s="34">
        <f t="shared" si="7"/>
        <v>25982</v>
      </c>
      <c r="BI37" s="31" t="str">
        <f t="shared" si="8"/>
        <v>AKTIF</v>
      </c>
      <c r="BJ37" s="31" t="str">
        <f t="shared" si="9"/>
        <v>SILVER</v>
      </c>
    </row>
    <row r="38" spans="1:62" s="32" customFormat="1" x14ac:dyDescent="0.25">
      <c r="A38" s="31">
        <v>27</v>
      </c>
      <c r="B38" s="31" t="s">
        <v>153</v>
      </c>
      <c r="C38" s="31" t="s">
        <v>154</v>
      </c>
      <c r="D38" s="31"/>
      <c r="E38" s="31" t="s">
        <v>6</v>
      </c>
      <c r="F38" s="31">
        <v>2025</v>
      </c>
      <c r="G38" s="31" t="s">
        <v>254</v>
      </c>
      <c r="H38" s="31" t="s">
        <v>65</v>
      </c>
      <c r="I38" s="37">
        <v>30940</v>
      </c>
      <c r="J38" s="31" t="s">
        <v>155</v>
      </c>
      <c r="K38" s="31" t="s">
        <v>111</v>
      </c>
      <c r="L38" s="31" t="s">
        <v>65</v>
      </c>
      <c r="M38" s="37">
        <v>10933</v>
      </c>
      <c r="N38" s="31" t="s">
        <v>804</v>
      </c>
      <c r="O38" s="31" t="s">
        <v>235</v>
      </c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4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4">
        <f t="shared" si="5"/>
        <v>41873</v>
      </c>
      <c r="BE38" s="31">
        <f t="shared" si="6"/>
        <v>2</v>
      </c>
      <c r="BF38" s="31"/>
      <c r="BG38" s="31"/>
      <c r="BH38" s="34">
        <f t="shared" si="7"/>
        <v>20936.5</v>
      </c>
      <c r="BI38" s="31" t="str">
        <f t="shared" si="8"/>
        <v>AKTIF</v>
      </c>
      <c r="BJ38" s="31" t="str">
        <f t="shared" si="9"/>
        <v>SILVER</v>
      </c>
    </row>
    <row r="39" spans="1:62" s="32" customFormat="1" x14ac:dyDescent="0.25">
      <c r="A39" s="31">
        <v>28</v>
      </c>
      <c r="B39" s="31" t="s">
        <v>156</v>
      </c>
      <c r="C39" s="31" t="s">
        <v>157</v>
      </c>
      <c r="D39" s="31"/>
      <c r="E39" s="31" t="s">
        <v>6</v>
      </c>
      <c r="F39" s="31">
        <v>2025</v>
      </c>
      <c r="G39" s="31" t="s">
        <v>254</v>
      </c>
      <c r="H39" s="31" t="s">
        <v>73</v>
      </c>
      <c r="I39" s="37">
        <v>50901</v>
      </c>
      <c r="J39" s="31" t="s">
        <v>158</v>
      </c>
      <c r="K39" s="31" t="s">
        <v>67</v>
      </c>
      <c r="L39" s="31"/>
      <c r="M39" s="37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4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4">
        <f t="shared" si="5"/>
        <v>50901</v>
      </c>
      <c r="BE39" s="31">
        <f t="shared" si="6"/>
        <v>1</v>
      </c>
      <c r="BF39" s="31"/>
      <c r="BG39" s="31"/>
      <c r="BH39" s="34">
        <f t="shared" si="7"/>
        <v>50901</v>
      </c>
      <c r="BI39" s="31" t="str">
        <f t="shared" si="8"/>
        <v>AKTIF</v>
      </c>
      <c r="BJ39" s="31" t="str">
        <f t="shared" si="9"/>
        <v>SILVER</v>
      </c>
    </row>
    <row r="40" spans="1:62" s="32" customFormat="1" x14ac:dyDescent="0.25">
      <c r="A40" s="31">
        <v>29</v>
      </c>
      <c r="B40" s="31" t="s">
        <v>159</v>
      </c>
      <c r="C40" s="31" t="s">
        <v>160</v>
      </c>
      <c r="D40" s="31"/>
      <c r="E40" s="31" t="s">
        <v>6</v>
      </c>
      <c r="F40" s="31">
        <v>2025</v>
      </c>
      <c r="G40" s="31" t="s">
        <v>254</v>
      </c>
      <c r="H40" s="31" t="s">
        <v>65</v>
      </c>
      <c r="I40" s="37">
        <v>30947</v>
      </c>
      <c r="J40" s="31" t="s">
        <v>161</v>
      </c>
      <c r="K40" s="31" t="s">
        <v>67</v>
      </c>
      <c r="L40" s="31"/>
      <c r="M40" s="37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4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4">
        <f t="shared" si="5"/>
        <v>30947</v>
      </c>
      <c r="BE40" s="31">
        <f t="shared" si="6"/>
        <v>1</v>
      </c>
      <c r="BF40" s="31"/>
      <c r="BG40" s="31"/>
      <c r="BH40" s="34">
        <f t="shared" si="7"/>
        <v>30947</v>
      </c>
      <c r="BI40" s="31" t="str">
        <f t="shared" si="8"/>
        <v>AKTIF</v>
      </c>
      <c r="BJ40" s="31" t="str">
        <f t="shared" si="9"/>
        <v>SILVER</v>
      </c>
    </row>
    <row r="41" spans="1:62" s="32" customFormat="1" x14ac:dyDescent="0.25">
      <c r="A41" s="31">
        <v>30</v>
      </c>
      <c r="B41" s="31" t="s">
        <v>162</v>
      </c>
      <c r="C41" s="31" t="s">
        <v>163</v>
      </c>
      <c r="D41" s="31"/>
      <c r="E41" s="31" t="s">
        <v>6</v>
      </c>
      <c r="F41" s="31">
        <v>2025</v>
      </c>
      <c r="G41" s="31" t="s">
        <v>254</v>
      </c>
      <c r="H41" s="31" t="s">
        <v>77</v>
      </c>
      <c r="I41" s="37">
        <v>50950</v>
      </c>
      <c r="J41" s="31" t="s">
        <v>164</v>
      </c>
      <c r="K41" s="31" t="s">
        <v>67</v>
      </c>
      <c r="L41" s="31"/>
      <c r="M41" s="37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4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4">
        <f t="shared" si="5"/>
        <v>50950</v>
      </c>
      <c r="BE41" s="31">
        <f t="shared" si="6"/>
        <v>1</v>
      </c>
      <c r="BF41" s="31"/>
      <c r="BG41" s="31"/>
      <c r="BH41" s="34">
        <f t="shared" si="7"/>
        <v>50950</v>
      </c>
      <c r="BI41" s="31" t="str">
        <f t="shared" si="8"/>
        <v>AKTIF</v>
      </c>
      <c r="BJ41" s="31" t="str">
        <f t="shared" si="9"/>
        <v>SILVER</v>
      </c>
    </row>
    <row r="42" spans="1:62" s="32" customFormat="1" x14ac:dyDescent="0.25">
      <c r="A42" s="31">
        <v>31</v>
      </c>
      <c r="B42" s="31" t="s">
        <v>90</v>
      </c>
      <c r="C42" s="31" t="s">
        <v>165</v>
      </c>
      <c r="D42" s="31"/>
      <c r="E42" s="31" t="s">
        <v>6</v>
      </c>
      <c r="F42" s="31">
        <v>2025</v>
      </c>
      <c r="G42" s="31" t="s">
        <v>254</v>
      </c>
      <c r="H42" s="31" t="s">
        <v>77</v>
      </c>
      <c r="I42" s="37">
        <v>100924</v>
      </c>
      <c r="J42" s="31" t="s">
        <v>166</v>
      </c>
      <c r="K42" s="31" t="s">
        <v>67</v>
      </c>
      <c r="L42" s="31"/>
      <c r="M42" s="37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4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4">
        <f t="shared" si="5"/>
        <v>100924</v>
      </c>
      <c r="BE42" s="31">
        <f t="shared" si="6"/>
        <v>1</v>
      </c>
      <c r="BF42" s="31"/>
      <c r="BG42" s="31"/>
      <c r="BH42" s="34">
        <f t="shared" si="7"/>
        <v>100924</v>
      </c>
      <c r="BI42" s="31" t="str">
        <f t="shared" si="8"/>
        <v>AKTIF</v>
      </c>
      <c r="BJ42" s="31" t="str">
        <f t="shared" si="9"/>
        <v>SILVER</v>
      </c>
    </row>
    <row r="43" spans="1:62" s="32" customFormat="1" x14ac:dyDescent="0.25">
      <c r="A43" s="31">
        <v>32</v>
      </c>
      <c r="B43" s="31" t="s">
        <v>90</v>
      </c>
      <c r="C43" s="31" t="s">
        <v>167</v>
      </c>
      <c r="D43" s="31"/>
      <c r="E43" s="31" t="s">
        <v>6</v>
      </c>
      <c r="F43" s="31">
        <v>2025</v>
      </c>
      <c r="G43" s="31" t="s">
        <v>254</v>
      </c>
      <c r="H43" s="31" t="s">
        <v>120</v>
      </c>
      <c r="I43" s="37">
        <v>50983</v>
      </c>
      <c r="J43" s="31" t="s">
        <v>168</v>
      </c>
      <c r="K43" s="31" t="s">
        <v>146</v>
      </c>
      <c r="L43" s="31"/>
      <c r="M43" s="37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4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4">
        <f t="shared" si="5"/>
        <v>50983</v>
      </c>
      <c r="BE43" s="31">
        <f t="shared" si="6"/>
        <v>1</v>
      </c>
      <c r="BF43" s="31"/>
      <c r="BG43" s="31"/>
      <c r="BH43" s="34">
        <f t="shared" si="7"/>
        <v>50983</v>
      </c>
      <c r="BI43" s="31" t="str">
        <f t="shared" si="8"/>
        <v>AKTIF</v>
      </c>
      <c r="BJ43" s="31" t="str">
        <f t="shared" si="9"/>
        <v>SILVER</v>
      </c>
    </row>
    <row r="44" spans="1:62" s="32" customFormat="1" x14ac:dyDescent="0.25">
      <c r="A44" s="31">
        <v>33</v>
      </c>
      <c r="B44" s="31" t="s">
        <v>169</v>
      </c>
      <c r="C44" s="31" t="s">
        <v>170</v>
      </c>
      <c r="D44" s="31"/>
      <c r="E44" s="31" t="s">
        <v>6</v>
      </c>
      <c r="F44" s="31">
        <v>2025</v>
      </c>
      <c r="G44" s="31" t="s">
        <v>254</v>
      </c>
      <c r="H44" s="31" t="s">
        <v>77</v>
      </c>
      <c r="I44" s="37">
        <v>50989</v>
      </c>
      <c r="J44" s="31" t="s">
        <v>171</v>
      </c>
      <c r="K44" s="31" t="s">
        <v>146</v>
      </c>
      <c r="L44" s="31"/>
      <c r="M44" s="37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4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4">
        <f t="shared" si="5"/>
        <v>50989</v>
      </c>
      <c r="BE44" s="31">
        <f t="shared" si="6"/>
        <v>1</v>
      </c>
      <c r="BF44" s="31"/>
      <c r="BG44" s="31"/>
      <c r="BH44" s="34">
        <f t="shared" si="7"/>
        <v>50989</v>
      </c>
      <c r="BI44" s="31" t="str">
        <f t="shared" si="8"/>
        <v>AKTIF</v>
      </c>
      <c r="BJ44" s="31" t="str">
        <f t="shared" si="9"/>
        <v>SILVER</v>
      </c>
    </row>
    <row r="45" spans="1:62" s="32" customFormat="1" x14ac:dyDescent="0.25">
      <c r="A45" s="31">
        <v>34</v>
      </c>
      <c r="B45" s="31" t="s">
        <v>172</v>
      </c>
      <c r="C45" s="31" t="s">
        <v>173</v>
      </c>
      <c r="D45" s="31"/>
      <c r="E45" s="31" t="s">
        <v>6</v>
      </c>
      <c r="F45" s="31">
        <v>2025</v>
      </c>
      <c r="G45" s="31" t="s">
        <v>254</v>
      </c>
      <c r="H45" s="31" t="s">
        <v>77</v>
      </c>
      <c r="I45" s="37">
        <v>50943</v>
      </c>
      <c r="J45" s="31" t="s">
        <v>174</v>
      </c>
      <c r="K45" s="31" t="s">
        <v>79</v>
      </c>
      <c r="L45" s="31"/>
      <c r="M45" s="37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4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4">
        <f t="shared" si="5"/>
        <v>50943</v>
      </c>
      <c r="BE45" s="31">
        <f t="shared" si="6"/>
        <v>1</v>
      </c>
      <c r="BF45" s="31"/>
      <c r="BG45" s="31"/>
      <c r="BH45" s="34">
        <f t="shared" si="7"/>
        <v>50943</v>
      </c>
      <c r="BI45" s="31" t="str">
        <f t="shared" si="8"/>
        <v>AKTIF</v>
      </c>
      <c r="BJ45" s="31" t="str">
        <f t="shared" si="9"/>
        <v>SILVER</v>
      </c>
    </row>
    <row r="46" spans="1:62" s="32" customFormat="1" x14ac:dyDescent="0.25">
      <c r="A46" s="31">
        <v>35</v>
      </c>
      <c r="B46" s="31" t="s">
        <v>90</v>
      </c>
      <c r="C46" s="31" t="s">
        <v>175</v>
      </c>
      <c r="D46" s="31"/>
      <c r="E46" s="31" t="s">
        <v>6</v>
      </c>
      <c r="F46" s="31">
        <v>2025</v>
      </c>
      <c r="G46" s="31" t="s">
        <v>254</v>
      </c>
      <c r="H46" s="31" t="s">
        <v>120</v>
      </c>
      <c r="I46" s="37">
        <v>50981</v>
      </c>
      <c r="J46" s="31" t="s">
        <v>176</v>
      </c>
      <c r="K46" s="31" t="s">
        <v>106</v>
      </c>
      <c r="L46" s="31"/>
      <c r="M46" s="37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4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4">
        <f t="shared" si="5"/>
        <v>50981</v>
      </c>
      <c r="BE46" s="31">
        <f t="shared" si="6"/>
        <v>1</v>
      </c>
      <c r="BF46" s="31"/>
      <c r="BG46" s="31"/>
      <c r="BH46" s="34">
        <f t="shared" si="7"/>
        <v>50981</v>
      </c>
      <c r="BI46" s="31" t="str">
        <f t="shared" si="8"/>
        <v>AKTIF</v>
      </c>
      <c r="BJ46" s="31" t="str">
        <f t="shared" si="9"/>
        <v>SILVER</v>
      </c>
    </row>
    <row r="47" spans="1:62" s="32" customFormat="1" x14ac:dyDescent="0.25">
      <c r="A47" s="31">
        <v>36</v>
      </c>
      <c r="B47" s="31" t="s">
        <v>177</v>
      </c>
      <c r="C47" s="31" t="s">
        <v>178</v>
      </c>
      <c r="D47" s="31"/>
      <c r="E47" s="31" t="s">
        <v>6</v>
      </c>
      <c r="F47" s="31">
        <v>2025</v>
      </c>
      <c r="G47" s="31" t="s">
        <v>254</v>
      </c>
      <c r="H47" s="31" t="s">
        <v>120</v>
      </c>
      <c r="I47" s="37">
        <v>50935</v>
      </c>
      <c r="J47" s="31" t="s">
        <v>179</v>
      </c>
      <c r="K47" s="31" t="s">
        <v>106</v>
      </c>
      <c r="L47" s="31" t="s">
        <v>69</v>
      </c>
      <c r="M47" s="37">
        <v>30098</v>
      </c>
      <c r="N47" s="31" t="s">
        <v>1067</v>
      </c>
      <c r="O47" s="31" t="s">
        <v>67</v>
      </c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4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4">
        <f t="shared" si="5"/>
        <v>81033</v>
      </c>
      <c r="BE47" s="31">
        <f t="shared" si="6"/>
        <v>2</v>
      </c>
      <c r="BF47" s="31"/>
      <c r="BG47" s="31"/>
      <c r="BH47" s="34">
        <f t="shared" si="7"/>
        <v>40516.5</v>
      </c>
      <c r="BI47" s="31" t="str">
        <f t="shared" si="8"/>
        <v>AKTIF</v>
      </c>
      <c r="BJ47" s="31" t="str">
        <f t="shared" si="9"/>
        <v>SILVER</v>
      </c>
    </row>
    <row r="48" spans="1:62" s="32" customFormat="1" x14ac:dyDescent="0.25">
      <c r="A48" s="31">
        <v>37</v>
      </c>
      <c r="B48" s="31" t="s">
        <v>180</v>
      </c>
      <c r="C48" s="31" t="s">
        <v>181</v>
      </c>
      <c r="D48" s="31"/>
      <c r="E48" s="31" t="s">
        <v>6</v>
      </c>
      <c r="F48" s="31">
        <v>2025</v>
      </c>
      <c r="G48" s="31" t="s">
        <v>254</v>
      </c>
      <c r="H48" s="31" t="s">
        <v>182</v>
      </c>
      <c r="I48" s="37">
        <v>50939</v>
      </c>
      <c r="J48" s="31" t="s">
        <v>183</v>
      </c>
      <c r="K48" s="31" t="s">
        <v>111</v>
      </c>
      <c r="L48" s="31"/>
      <c r="M48" s="37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4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4">
        <f t="shared" si="5"/>
        <v>50939</v>
      </c>
      <c r="BE48" s="31">
        <f t="shared" si="6"/>
        <v>1</v>
      </c>
      <c r="BF48" s="31"/>
      <c r="BG48" s="31"/>
      <c r="BH48" s="34">
        <f t="shared" si="7"/>
        <v>50939</v>
      </c>
      <c r="BI48" s="31" t="str">
        <f t="shared" si="8"/>
        <v>AKTIF</v>
      </c>
      <c r="BJ48" s="31" t="str">
        <f t="shared" si="9"/>
        <v>SILVER</v>
      </c>
    </row>
    <row r="49" spans="1:62" s="32" customFormat="1" x14ac:dyDescent="0.25">
      <c r="A49" s="31">
        <v>38</v>
      </c>
      <c r="B49" s="31" t="s">
        <v>184</v>
      </c>
      <c r="C49" s="31" t="s">
        <v>185</v>
      </c>
      <c r="D49" s="31"/>
      <c r="E49" s="31" t="s">
        <v>6</v>
      </c>
      <c r="F49" s="31">
        <v>2025</v>
      </c>
      <c r="G49" s="31" t="s">
        <v>254</v>
      </c>
      <c r="H49" s="31" t="s">
        <v>182</v>
      </c>
      <c r="I49" s="37">
        <v>30909</v>
      </c>
      <c r="J49" s="31" t="s">
        <v>186</v>
      </c>
      <c r="K49" s="31" t="s">
        <v>67</v>
      </c>
      <c r="L49" s="31"/>
      <c r="M49" s="37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4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4">
        <f t="shared" si="5"/>
        <v>30909</v>
      </c>
      <c r="BE49" s="31">
        <f t="shared" si="6"/>
        <v>1</v>
      </c>
      <c r="BF49" s="31"/>
      <c r="BG49" s="31"/>
      <c r="BH49" s="34">
        <f t="shared" si="7"/>
        <v>30909</v>
      </c>
      <c r="BI49" s="31" t="str">
        <f t="shared" si="8"/>
        <v>AKTIF</v>
      </c>
      <c r="BJ49" s="31" t="str">
        <f t="shared" si="9"/>
        <v>SILVER</v>
      </c>
    </row>
    <row r="50" spans="1:62" s="32" customFormat="1" x14ac:dyDescent="0.25">
      <c r="A50" s="31">
        <v>39</v>
      </c>
      <c r="B50" s="31" t="s">
        <v>187</v>
      </c>
      <c r="C50" s="31" t="s">
        <v>188</v>
      </c>
      <c r="D50" s="31"/>
      <c r="E50" s="31" t="s">
        <v>6</v>
      </c>
      <c r="F50" s="31">
        <v>2025</v>
      </c>
      <c r="G50" s="31" t="s">
        <v>254</v>
      </c>
      <c r="H50" s="31" t="s">
        <v>73</v>
      </c>
      <c r="I50" s="37">
        <v>50948</v>
      </c>
      <c r="J50" s="31" t="s">
        <v>189</v>
      </c>
      <c r="K50" s="31" t="s">
        <v>67</v>
      </c>
      <c r="L50" s="31"/>
      <c r="M50" s="37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4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4">
        <f t="shared" si="5"/>
        <v>50948</v>
      </c>
      <c r="BE50" s="31">
        <f t="shared" si="6"/>
        <v>1</v>
      </c>
      <c r="BF50" s="31"/>
      <c r="BG50" s="31"/>
      <c r="BH50" s="34">
        <f t="shared" si="7"/>
        <v>50948</v>
      </c>
      <c r="BI50" s="31" t="str">
        <f t="shared" si="8"/>
        <v>AKTIF</v>
      </c>
      <c r="BJ50" s="31" t="str">
        <f t="shared" si="9"/>
        <v>SILVER</v>
      </c>
    </row>
    <row r="51" spans="1:62" s="32" customFormat="1" x14ac:dyDescent="0.25">
      <c r="A51" s="31">
        <v>40</v>
      </c>
      <c r="B51" s="31" t="s">
        <v>190</v>
      </c>
      <c r="C51" s="31" t="s">
        <v>191</v>
      </c>
      <c r="D51" s="31"/>
      <c r="E51" s="31" t="s">
        <v>6</v>
      </c>
      <c r="F51" s="31">
        <v>2025</v>
      </c>
      <c r="G51" s="31" t="s">
        <v>254</v>
      </c>
      <c r="H51" s="31" t="s">
        <v>73</v>
      </c>
      <c r="I51" s="37">
        <v>100968</v>
      </c>
      <c r="J51" s="31" t="s">
        <v>192</v>
      </c>
      <c r="K51" s="31" t="s">
        <v>146</v>
      </c>
      <c r="L51" s="31"/>
      <c r="M51" s="37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4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4">
        <f t="shared" si="5"/>
        <v>100968</v>
      </c>
      <c r="BE51" s="31">
        <f t="shared" si="6"/>
        <v>1</v>
      </c>
      <c r="BF51" s="31"/>
      <c r="BG51" s="31"/>
      <c r="BH51" s="34">
        <f t="shared" si="7"/>
        <v>100968</v>
      </c>
      <c r="BI51" s="31" t="str">
        <f t="shared" si="8"/>
        <v>AKTIF</v>
      </c>
      <c r="BJ51" s="31" t="str">
        <f t="shared" si="9"/>
        <v>SILVER</v>
      </c>
    </row>
    <row r="52" spans="1:62" s="32" customFormat="1" x14ac:dyDescent="0.25">
      <c r="A52" s="31">
        <v>41</v>
      </c>
      <c r="B52" s="31" t="s">
        <v>193</v>
      </c>
      <c r="C52" s="31" t="s">
        <v>194</v>
      </c>
      <c r="D52" s="31"/>
      <c r="E52" s="31" t="s">
        <v>6</v>
      </c>
      <c r="F52" s="31">
        <v>2025</v>
      </c>
      <c r="G52" s="31" t="s">
        <v>254</v>
      </c>
      <c r="H52" s="31" t="s">
        <v>73</v>
      </c>
      <c r="I52" s="37">
        <v>50964</v>
      </c>
      <c r="J52" s="31" t="s">
        <v>195</v>
      </c>
      <c r="K52" s="31" t="s">
        <v>106</v>
      </c>
      <c r="L52" s="31"/>
      <c r="M52" s="37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4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4">
        <f t="shared" si="5"/>
        <v>50964</v>
      </c>
      <c r="BE52" s="31">
        <f t="shared" si="6"/>
        <v>1</v>
      </c>
      <c r="BF52" s="31"/>
      <c r="BG52" s="31"/>
      <c r="BH52" s="34">
        <f t="shared" si="7"/>
        <v>50964</v>
      </c>
      <c r="BI52" s="31" t="str">
        <f t="shared" si="8"/>
        <v>AKTIF</v>
      </c>
      <c r="BJ52" s="31" t="str">
        <f t="shared" si="9"/>
        <v>SILVER</v>
      </c>
    </row>
    <row r="53" spans="1:62" s="32" customFormat="1" x14ac:dyDescent="0.25">
      <c r="A53" s="31">
        <v>42</v>
      </c>
      <c r="B53" s="31" t="s">
        <v>196</v>
      </c>
      <c r="C53" s="31" t="s">
        <v>197</v>
      </c>
      <c r="D53" s="31"/>
      <c r="E53" s="31" t="s">
        <v>6</v>
      </c>
      <c r="F53" s="31">
        <v>2025</v>
      </c>
      <c r="G53" s="31" t="s">
        <v>254</v>
      </c>
      <c r="H53" s="31" t="s">
        <v>69</v>
      </c>
      <c r="I53" s="37">
        <v>50097</v>
      </c>
      <c r="J53" s="31" t="s">
        <v>198</v>
      </c>
      <c r="K53" s="31" t="s">
        <v>99</v>
      </c>
      <c r="L53" s="31" t="s">
        <v>69</v>
      </c>
      <c r="M53" s="37">
        <v>50096</v>
      </c>
      <c r="N53" s="31" t="s">
        <v>1172</v>
      </c>
      <c r="O53" s="31" t="s">
        <v>99</v>
      </c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4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4">
        <f t="shared" si="5"/>
        <v>100193</v>
      </c>
      <c r="BE53" s="31">
        <f t="shared" si="6"/>
        <v>2</v>
      </c>
      <c r="BF53" s="31"/>
      <c r="BG53" s="31"/>
      <c r="BH53" s="34">
        <f t="shared" si="7"/>
        <v>50096.5</v>
      </c>
      <c r="BI53" s="31" t="str">
        <f t="shared" si="8"/>
        <v>AKTIF</v>
      </c>
      <c r="BJ53" s="31" t="str">
        <f t="shared" si="9"/>
        <v>SILVER</v>
      </c>
    </row>
    <row r="54" spans="1:62" s="32" customFormat="1" x14ac:dyDescent="0.25">
      <c r="A54" s="31">
        <v>43</v>
      </c>
      <c r="B54" s="31" t="s">
        <v>199</v>
      </c>
      <c r="C54" s="31" t="s">
        <v>200</v>
      </c>
      <c r="D54" s="31"/>
      <c r="E54" s="31" t="s">
        <v>6</v>
      </c>
      <c r="F54" s="31">
        <v>2025</v>
      </c>
      <c r="G54" s="31" t="s">
        <v>254</v>
      </c>
      <c r="H54" s="31" t="s">
        <v>201</v>
      </c>
      <c r="I54" s="37">
        <v>30425</v>
      </c>
      <c r="J54" s="31" t="s">
        <v>202</v>
      </c>
      <c r="K54" s="31" t="s">
        <v>67</v>
      </c>
      <c r="L54" s="31"/>
      <c r="M54" s="37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4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4">
        <f t="shared" si="5"/>
        <v>30425</v>
      </c>
      <c r="BE54" s="31">
        <f t="shared" si="6"/>
        <v>1</v>
      </c>
      <c r="BF54" s="31"/>
      <c r="BG54" s="31"/>
      <c r="BH54" s="34">
        <f t="shared" si="7"/>
        <v>30425</v>
      </c>
      <c r="BI54" s="31" t="str">
        <f t="shared" si="8"/>
        <v>AKTIF</v>
      </c>
      <c r="BJ54" s="31" t="str">
        <f t="shared" si="9"/>
        <v>SILVER</v>
      </c>
    </row>
    <row r="55" spans="1:62" s="32" customFormat="1" x14ac:dyDescent="0.25">
      <c r="A55" s="31">
        <v>44</v>
      </c>
      <c r="B55" s="31" t="s">
        <v>203</v>
      </c>
      <c r="C55" s="31" t="s">
        <v>204</v>
      </c>
      <c r="D55" s="31"/>
      <c r="E55" s="31" t="s">
        <v>6</v>
      </c>
      <c r="F55" s="31">
        <v>2025</v>
      </c>
      <c r="G55" s="31" t="s">
        <v>254</v>
      </c>
      <c r="H55" s="31" t="s">
        <v>69</v>
      </c>
      <c r="I55" s="37">
        <v>50094</v>
      </c>
      <c r="J55" s="31" t="s">
        <v>205</v>
      </c>
      <c r="K55" s="31" t="s">
        <v>67</v>
      </c>
      <c r="L55" s="31"/>
      <c r="M55" s="37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4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4">
        <f t="shared" si="5"/>
        <v>50094</v>
      </c>
      <c r="BE55" s="31">
        <f t="shared" si="6"/>
        <v>1</v>
      </c>
      <c r="BF55" s="31"/>
      <c r="BG55" s="31"/>
      <c r="BH55" s="34">
        <f t="shared" si="7"/>
        <v>50094</v>
      </c>
      <c r="BI55" s="31" t="str">
        <f t="shared" si="8"/>
        <v>AKTIF</v>
      </c>
      <c r="BJ55" s="31" t="str">
        <f t="shared" si="9"/>
        <v>SILVER</v>
      </c>
    </row>
    <row r="56" spans="1:62" s="32" customFormat="1" x14ac:dyDescent="0.25">
      <c r="A56" s="31">
        <v>45</v>
      </c>
      <c r="B56" s="31" t="s">
        <v>206</v>
      </c>
      <c r="C56" s="31" t="s">
        <v>207</v>
      </c>
      <c r="D56" s="31"/>
      <c r="E56" s="31" t="s">
        <v>6</v>
      </c>
      <c r="F56" s="31">
        <v>2025</v>
      </c>
      <c r="G56" s="31" t="s">
        <v>254</v>
      </c>
      <c r="H56" s="31" t="s">
        <v>65</v>
      </c>
      <c r="I56" s="37">
        <v>30928</v>
      </c>
      <c r="J56" s="31" t="s">
        <v>208</v>
      </c>
      <c r="K56" s="31" t="s">
        <v>99</v>
      </c>
      <c r="L56" s="31"/>
      <c r="M56" s="37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4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4">
        <f t="shared" si="5"/>
        <v>30928</v>
      </c>
      <c r="BE56" s="31">
        <f t="shared" si="6"/>
        <v>1</v>
      </c>
      <c r="BF56" s="31"/>
      <c r="BG56" s="31"/>
      <c r="BH56" s="34">
        <f t="shared" si="7"/>
        <v>30928</v>
      </c>
      <c r="BI56" s="31" t="str">
        <f t="shared" si="8"/>
        <v>AKTIF</v>
      </c>
      <c r="BJ56" s="31" t="str">
        <f t="shared" si="9"/>
        <v>SILVER</v>
      </c>
    </row>
    <row r="57" spans="1:62" s="32" customFormat="1" x14ac:dyDescent="0.25">
      <c r="A57" s="31">
        <v>46</v>
      </c>
      <c r="B57" s="31" t="s">
        <v>209</v>
      </c>
      <c r="C57" s="31" t="s">
        <v>210</v>
      </c>
      <c r="D57" s="31"/>
      <c r="E57" s="31" t="s">
        <v>6</v>
      </c>
      <c r="F57" s="31">
        <v>2025</v>
      </c>
      <c r="G57" s="31" t="s">
        <v>254</v>
      </c>
      <c r="H57" s="31" t="s">
        <v>77</v>
      </c>
      <c r="I57" s="37">
        <v>200986</v>
      </c>
      <c r="J57" s="31" t="s">
        <v>211</v>
      </c>
      <c r="K57" s="31" t="s">
        <v>67</v>
      </c>
      <c r="L57" s="31"/>
      <c r="M57" s="37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4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4">
        <f t="shared" si="5"/>
        <v>200986</v>
      </c>
      <c r="BE57" s="31">
        <f t="shared" si="6"/>
        <v>1</v>
      </c>
      <c r="BF57" s="31"/>
      <c r="BG57" s="31"/>
      <c r="BH57" s="34">
        <f t="shared" si="7"/>
        <v>200986</v>
      </c>
      <c r="BI57" s="31" t="str">
        <f t="shared" si="8"/>
        <v>AKTIF</v>
      </c>
      <c r="BJ57" s="31" t="str">
        <f t="shared" si="9"/>
        <v>SILVER</v>
      </c>
    </row>
    <row r="58" spans="1:62" s="32" customFormat="1" x14ac:dyDescent="0.25">
      <c r="A58" s="31">
        <v>47</v>
      </c>
      <c r="B58" s="31" t="s">
        <v>212</v>
      </c>
      <c r="C58" s="31" t="s">
        <v>213</v>
      </c>
      <c r="D58" s="31"/>
      <c r="E58" s="31" t="s">
        <v>6</v>
      </c>
      <c r="F58" s="31">
        <v>2025</v>
      </c>
      <c r="G58" s="31" t="s">
        <v>254</v>
      </c>
      <c r="H58" s="31" t="s">
        <v>77</v>
      </c>
      <c r="I58" s="37">
        <v>50930</v>
      </c>
      <c r="J58" s="31" t="s">
        <v>214</v>
      </c>
      <c r="K58" s="31" t="s">
        <v>67</v>
      </c>
      <c r="L58" s="31"/>
      <c r="M58" s="37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4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4">
        <f t="shared" si="5"/>
        <v>50930</v>
      </c>
      <c r="BE58" s="31">
        <f t="shared" si="6"/>
        <v>1</v>
      </c>
      <c r="BF58" s="31"/>
      <c r="BG58" s="31"/>
      <c r="BH58" s="34">
        <f t="shared" si="7"/>
        <v>50930</v>
      </c>
      <c r="BI58" s="31" t="str">
        <f t="shared" si="8"/>
        <v>AKTIF</v>
      </c>
      <c r="BJ58" s="31" t="str">
        <f t="shared" si="9"/>
        <v>SILVER</v>
      </c>
    </row>
    <row r="59" spans="1:62" s="32" customFormat="1" x14ac:dyDescent="0.25">
      <c r="A59" s="31">
        <v>48</v>
      </c>
      <c r="B59" s="31" t="s">
        <v>215</v>
      </c>
      <c r="C59" s="31" t="s">
        <v>216</v>
      </c>
      <c r="D59" s="31"/>
      <c r="E59" s="31" t="s">
        <v>6</v>
      </c>
      <c r="F59" s="31">
        <v>2025</v>
      </c>
      <c r="G59" s="31" t="s">
        <v>254</v>
      </c>
      <c r="H59" s="31" t="s">
        <v>77</v>
      </c>
      <c r="I59" s="37">
        <v>100944</v>
      </c>
      <c r="J59" s="31" t="s">
        <v>217</v>
      </c>
      <c r="K59" s="31" t="s">
        <v>99</v>
      </c>
      <c r="L59" s="31"/>
      <c r="M59" s="37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4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4">
        <f t="shared" si="5"/>
        <v>100944</v>
      </c>
      <c r="BE59" s="31">
        <f t="shared" si="6"/>
        <v>1</v>
      </c>
      <c r="BF59" s="31"/>
      <c r="BG59" s="31"/>
      <c r="BH59" s="34">
        <f t="shared" si="7"/>
        <v>100944</v>
      </c>
      <c r="BI59" s="31" t="str">
        <f t="shared" si="8"/>
        <v>AKTIF</v>
      </c>
      <c r="BJ59" s="31" t="str">
        <f t="shared" si="9"/>
        <v>SILVER</v>
      </c>
    </row>
    <row r="60" spans="1:62" s="32" customFormat="1" x14ac:dyDescent="0.25">
      <c r="A60" s="31">
        <v>49</v>
      </c>
      <c r="B60" s="31" t="s">
        <v>218</v>
      </c>
      <c r="C60" s="31" t="s">
        <v>219</v>
      </c>
      <c r="D60" s="31"/>
      <c r="E60" s="31" t="s">
        <v>6</v>
      </c>
      <c r="F60" s="31">
        <v>2025</v>
      </c>
      <c r="G60" s="31" t="s">
        <v>254</v>
      </c>
      <c r="H60" s="31" t="s">
        <v>220</v>
      </c>
      <c r="I60" s="37">
        <v>30925</v>
      </c>
      <c r="J60" s="31" t="s">
        <v>221</v>
      </c>
      <c r="K60" s="31" t="s">
        <v>67</v>
      </c>
      <c r="L60" s="31" t="s">
        <v>182</v>
      </c>
      <c r="M60" s="37">
        <v>30912</v>
      </c>
      <c r="N60" s="31" t="s">
        <v>1195</v>
      </c>
      <c r="O60" s="31" t="s">
        <v>67</v>
      </c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4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4">
        <f t="shared" si="5"/>
        <v>61837</v>
      </c>
      <c r="BE60" s="31">
        <f t="shared" si="6"/>
        <v>2</v>
      </c>
      <c r="BF60" s="31"/>
      <c r="BG60" s="31"/>
      <c r="BH60" s="34">
        <f t="shared" si="7"/>
        <v>30918.5</v>
      </c>
      <c r="BI60" s="31" t="str">
        <f t="shared" si="8"/>
        <v>AKTIF</v>
      </c>
      <c r="BJ60" s="31" t="str">
        <f t="shared" si="9"/>
        <v>SILVER</v>
      </c>
    </row>
    <row r="61" spans="1:62" s="32" customFormat="1" x14ac:dyDescent="0.25">
      <c r="A61" s="31">
        <v>50</v>
      </c>
      <c r="B61" s="31" t="s">
        <v>222</v>
      </c>
      <c r="C61" s="31" t="s">
        <v>223</v>
      </c>
      <c r="D61" s="31"/>
      <c r="E61" s="31" t="s">
        <v>6</v>
      </c>
      <c r="F61" s="31">
        <v>2025</v>
      </c>
      <c r="G61" s="31" t="s">
        <v>254</v>
      </c>
      <c r="H61" s="31" t="s">
        <v>65</v>
      </c>
      <c r="I61" s="37">
        <v>30938</v>
      </c>
      <c r="J61" s="31" t="s">
        <v>224</v>
      </c>
      <c r="K61" s="31" t="s">
        <v>67</v>
      </c>
      <c r="L61" s="31"/>
      <c r="M61" s="37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4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4">
        <f t="shared" si="5"/>
        <v>30938</v>
      </c>
      <c r="BE61" s="31">
        <f t="shared" si="6"/>
        <v>1</v>
      </c>
      <c r="BF61" s="31"/>
      <c r="BG61" s="31"/>
      <c r="BH61" s="34">
        <f t="shared" si="7"/>
        <v>30938</v>
      </c>
      <c r="BI61" s="31" t="str">
        <f t="shared" si="8"/>
        <v>AKTIF</v>
      </c>
      <c r="BJ61" s="31" t="str">
        <f t="shared" si="9"/>
        <v>SILVER</v>
      </c>
    </row>
    <row r="62" spans="1:62" s="32" customFormat="1" x14ac:dyDescent="0.25">
      <c r="A62" s="31">
        <v>51</v>
      </c>
      <c r="B62" s="31" t="s">
        <v>225</v>
      </c>
      <c r="C62" s="31" t="s">
        <v>226</v>
      </c>
      <c r="D62" s="31"/>
      <c r="E62" s="31" t="s">
        <v>6</v>
      </c>
      <c r="F62" s="31">
        <v>2025</v>
      </c>
      <c r="G62" s="31" t="s">
        <v>254</v>
      </c>
      <c r="H62" s="31" t="s">
        <v>65</v>
      </c>
      <c r="I62" s="37">
        <v>30965</v>
      </c>
      <c r="J62" s="31" t="s">
        <v>227</v>
      </c>
      <c r="K62" s="31" t="s">
        <v>228</v>
      </c>
      <c r="L62" s="31"/>
      <c r="M62" s="37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4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4">
        <f t="shared" si="5"/>
        <v>30965</v>
      </c>
      <c r="BE62" s="31">
        <f t="shared" si="6"/>
        <v>1</v>
      </c>
      <c r="BF62" s="31"/>
      <c r="BG62" s="31"/>
      <c r="BH62" s="34">
        <f t="shared" si="7"/>
        <v>30965</v>
      </c>
      <c r="BI62" s="31" t="str">
        <f t="shared" si="8"/>
        <v>AKTIF</v>
      </c>
      <c r="BJ62" s="31" t="str">
        <f t="shared" si="9"/>
        <v>SILVER</v>
      </c>
    </row>
    <row r="63" spans="1:62" s="32" customFormat="1" x14ac:dyDescent="0.25">
      <c r="A63" s="31">
        <v>52</v>
      </c>
      <c r="B63" s="31" t="s">
        <v>229</v>
      </c>
      <c r="C63" s="31" t="s">
        <v>230</v>
      </c>
      <c r="D63" s="31"/>
      <c r="E63" s="31" t="s">
        <v>6</v>
      </c>
      <c r="F63" s="31">
        <v>2025</v>
      </c>
      <c r="G63" s="31" t="s">
        <v>254</v>
      </c>
      <c r="H63" s="31" t="s">
        <v>77</v>
      </c>
      <c r="I63" s="37">
        <v>50930</v>
      </c>
      <c r="J63" s="31" t="s">
        <v>231</v>
      </c>
      <c r="K63" s="31" t="s">
        <v>67</v>
      </c>
      <c r="L63" s="31"/>
      <c r="M63" s="37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4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4">
        <f t="shared" si="5"/>
        <v>50930</v>
      </c>
      <c r="BE63" s="31">
        <f t="shared" si="6"/>
        <v>1</v>
      </c>
      <c r="BF63" s="31"/>
      <c r="BG63" s="31"/>
      <c r="BH63" s="34">
        <f t="shared" si="7"/>
        <v>50930</v>
      </c>
      <c r="BI63" s="31" t="str">
        <f t="shared" si="8"/>
        <v>AKTIF</v>
      </c>
      <c r="BJ63" s="31" t="str">
        <f t="shared" si="9"/>
        <v>SILVER</v>
      </c>
    </row>
    <row r="64" spans="1:62" s="32" customFormat="1" x14ac:dyDescent="0.25">
      <c r="A64" s="31">
        <v>53</v>
      </c>
      <c r="B64" s="31" t="s">
        <v>232</v>
      </c>
      <c r="C64" s="31" t="s">
        <v>233</v>
      </c>
      <c r="D64" s="31"/>
      <c r="E64" s="31" t="s">
        <v>6</v>
      </c>
      <c r="F64" s="31">
        <v>2025</v>
      </c>
      <c r="G64" s="31" t="s">
        <v>254</v>
      </c>
      <c r="H64" s="31" t="s">
        <v>69</v>
      </c>
      <c r="I64" s="37">
        <v>30096</v>
      </c>
      <c r="J64" s="31" t="s">
        <v>234</v>
      </c>
      <c r="K64" s="31" t="s">
        <v>235</v>
      </c>
      <c r="L64" s="31"/>
      <c r="M64" s="37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4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  <c r="BD64" s="34">
        <f t="shared" si="5"/>
        <v>30096</v>
      </c>
      <c r="BE64" s="31">
        <f t="shared" si="6"/>
        <v>1</v>
      </c>
      <c r="BF64" s="31"/>
      <c r="BG64" s="31"/>
      <c r="BH64" s="34">
        <f t="shared" si="7"/>
        <v>30096</v>
      </c>
      <c r="BI64" s="31" t="str">
        <f t="shared" si="8"/>
        <v>AKTIF</v>
      </c>
      <c r="BJ64" s="31" t="str">
        <f t="shared" si="9"/>
        <v>SILVER</v>
      </c>
    </row>
    <row r="65" spans="1:62" s="32" customFormat="1" x14ac:dyDescent="0.25">
      <c r="A65" s="31">
        <v>54</v>
      </c>
      <c r="B65" s="31" t="s">
        <v>236</v>
      </c>
      <c r="C65" s="31" t="s">
        <v>237</v>
      </c>
      <c r="D65" s="31"/>
      <c r="E65" s="31" t="s">
        <v>6</v>
      </c>
      <c r="F65" s="31">
        <v>2025</v>
      </c>
      <c r="G65" s="31" t="s">
        <v>254</v>
      </c>
      <c r="H65" s="31" t="s">
        <v>77</v>
      </c>
      <c r="I65" s="37">
        <v>50939</v>
      </c>
      <c r="J65" s="31" t="s">
        <v>238</v>
      </c>
      <c r="K65" s="31" t="s">
        <v>67</v>
      </c>
      <c r="L65" s="31"/>
      <c r="M65" s="37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4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  <c r="BD65" s="34">
        <f t="shared" si="5"/>
        <v>50939</v>
      </c>
      <c r="BE65" s="31">
        <f t="shared" si="6"/>
        <v>1</v>
      </c>
      <c r="BF65" s="31"/>
      <c r="BG65" s="31"/>
      <c r="BH65" s="34">
        <f t="shared" si="7"/>
        <v>50939</v>
      </c>
      <c r="BI65" s="31" t="str">
        <f t="shared" si="8"/>
        <v>AKTIF</v>
      </c>
      <c r="BJ65" s="31" t="str">
        <f t="shared" si="9"/>
        <v>SILVER</v>
      </c>
    </row>
    <row r="66" spans="1:62" s="32" customFormat="1" x14ac:dyDescent="0.25">
      <c r="A66" s="31">
        <v>55</v>
      </c>
      <c r="B66" s="31" t="s">
        <v>239</v>
      </c>
      <c r="C66" s="31" t="s">
        <v>240</v>
      </c>
      <c r="D66" s="31"/>
      <c r="E66" s="31" t="s">
        <v>6</v>
      </c>
      <c r="F66" s="31">
        <v>2025</v>
      </c>
      <c r="G66" s="31" t="s">
        <v>254</v>
      </c>
      <c r="H66" s="31" t="s">
        <v>77</v>
      </c>
      <c r="I66" s="37">
        <v>100000</v>
      </c>
      <c r="J66" s="31" t="s">
        <v>241</v>
      </c>
      <c r="K66" s="31" t="s">
        <v>67</v>
      </c>
      <c r="L66" s="31"/>
      <c r="M66" s="37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4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4">
        <f t="shared" si="5"/>
        <v>100000</v>
      </c>
      <c r="BE66" s="31">
        <f t="shared" si="6"/>
        <v>1</v>
      </c>
      <c r="BF66" s="31"/>
      <c r="BG66" s="31"/>
      <c r="BH66" s="34">
        <f t="shared" si="7"/>
        <v>100000</v>
      </c>
      <c r="BI66" s="31" t="str">
        <f t="shared" si="8"/>
        <v>AKTIF</v>
      </c>
      <c r="BJ66" s="31" t="str">
        <f t="shared" si="9"/>
        <v>SILVER</v>
      </c>
    </row>
    <row r="67" spans="1:62" s="32" customFormat="1" x14ac:dyDescent="0.25">
      <c r="A67" s="31">
        <v>56</v>
      </c>
      <c r="B67" s="31" t="s">
        <v>242</v>
      </c>
      <c r="C67" s="31" t="s">
        <v>243</v>
      </c>
      <c r="D67" s="31"/>
      <c r="E67" s="31" t="s">
        <v>6</v>
      </c>
      <c r="F67" s="31">
        <v>2025</v>
      </c>
      <c r="G67" s="31" t="s">
        <v>254</v>
      </c>
      <c r="H67" s="31" t="s">
        <v>65</v>
      </c>
      <c r="I67" s="37">
        <v>30929</v>
      </c>
      <c r="J67" s="31" t="s">
        <v>244</v>
      </c>
      <c r="K67" s="31" t="s">
        <v>99</v>
      </c>
      <c r="L67" s="31" t="s">
        <v>65</v>
      </c>
      <c r="M67" s="37">
        <v>20965</v>
      </c>
      <c r="N67" s="31" t="s">
        <v>1279</v>
      </c>
      <c r="O67" s="31" t="s">
        <v>235</v>
      </c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4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4">
        <f t="shared" si="5"/>
        <v>51894</v>
      </c>
      <c r="BE67" s="31">
        <f t="shared" si="6"/>
        <v>2</v>
      </c>
      <c r="BF67" s="31"/>
      <c r="BG67" s="31"/>
      <c r="BH67" s="34">
        <f t="shared" si="7"/>
        <v>25947</v>
      </c>
      <c r="BI67" s="31" t="str">
        <f t="shared" si="8"/>
        <v>AKTIF</v>
      </c>
      <c r="BJ67" s="31" t="str">
        <f t="shared" si="9"/>
        <v>SILVER</v>
      </c>
    </row>
    <row r="68" spans="1:62" s="32" customFormat="1" x14ac:dyDescent="0.25">
      <c r="A68" s="31">
        <v>57</v>
      </c>
      <c r="B68" s="31" t="s">
        <v>245</v>
      </c>
      <c r="C68" s="31" t="s">
        <v>246</v>
      </c>
      <c r="D68" s="31"/>
      <c r="E68" s="31" t="s">
        <v>6</v>
      </c>
      <c r="F68" s="31">
        <v>2025</v>
      </c>
      <c r="G68" s="31" t="s">
        <v>254</v>
      </c>
      <c r="H68" s="31" t="s">
        <v>120</v>
      </c>
      <c r="I68" s="37">
        <v>50956</v>
      </c>
      <c r="J68" s="31" t="s">
        <v>247</v>
      </c>
      <c r="K68" s="31" t="s">
        <v>79</v>
      </c>
      <c r="L68" s="31"/>
      <c r="M68" s="37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4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4">
        <f t="shared" si="5"/>
        <v>50956</v>
      </c>
      <c r="BE68" s="31">
        <f t="shared" si="6"/>
        <v>1</v>
      </c>
      <c r="BF68" s="31"/>
      <c r="BG68" s="31"/>
      <c r="BH68" s="34">
        <f t="shared" si="7"/>
        <v>50956</v>
      </c>
      <c r="BI68" s="31" t="str">
        <f t="shared" si="8"/>
        <v>AKTIF</v>
      </c>
      <c r="BJ68" s="31" t="str">
        <f t="shared" si="9"/>
        <v>SILVER</v>
      </c>
    </row>
    <row r="69" spans="1:62" s="32" customFormat="1" x14ac:dyDescent="0.25">
      <c r="A69" s="31">
        <v>58</v>
      </c>
      <c r="B69" s="31" t="s">
        <v>248</v>
      </c>
      <c r="C69" s="31" t="s">
        <v>249</v>
      </c>
      <c r="D69" s="31"/>
      <c r="E69" s="31" t="s">
        <v>6</v>
      </c>
      <c r="F69" s="31">
        <v>2025</v>
      </c>
      <c r="G69" s="31" t="s">
        <v>254</v>
      </c>
      <c r="H69" s="31" t="s">
        <v>73</v>
      </c>
      <c r="I69" s="37">
        <v>50962</v>
      </c>
      <c r="J69" s="31" t="s">
        <v>250</v>
      </c>
      <c r="K69" s="31" t="s">
        <v>106</v>
      </c>
      <c r="L69" s="31"/>
      <c r="M69" s="37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4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4">
        <f t="shared" si="5"/>
        <v>50962</v>
      </c>
      <c r="BE69" s="31">
        <f t="shared" si="6"/>
        <v>1</v>
      </c>
      <c r="BF69" s="31"/>
      <c r="BG69" s="31"/>
      <c r="BH69" s="34">
        <f t="shared" si="7"/>
        <v>50962</v>
      </c>
      <c r="BI69" s="31" t="str">
        <f t="shared" si="8"/>
        <v>AKTIF</v>
      </c>
      <c r="BJ69" s="31" t="str">
        <f t="shared" si="9"/>
        <v>SILVER</v>
      </c>
    </row>
    <row r="70" spans="1:62" s="32" customFormat="1" x14ac:dyDescent="0.25">
      <c r="A70" s="31">
        <v>59</v>
      </c>
      <c r="B70" s="31" t="s">
        <v>251</v>
      </c>
      <c r="C70" s="31" t="s">
        <v>252</v>
      </c>
      <c r="D70" s="31"/>
      <c r="E70" s="31" t="s">
        <v>6</v>
      </c>
      <c r="F70" s="31">
        <v>2025</v>
      </c>
      <c r="G70" s="31" t="s">
        <v>254</v>
      </c>
      <c r="H70" s="31" t="s">
        <v>77</v>
      </c>
      <c r="I70" s="37">
        <v>50994</v>
      </c>
      <c r="J70" s="31" t="s">
        <v>253</v>
      </c>
      <c r="K70" s="31" t="s">
        <v>79</v>
      </c>
      <c r="L70" s="31"/>
      <c r="M70" s="37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4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4">
        <f>BA70+AW70+AS70+AO70+AK70+AG70+AC70+Y70+U70+Q70+M70+I70</f>
        <v>50994</v>
      </c>
      <c r="BE70" s="31">
        <f>COUNT(BA70,AW70,AS70,AO70,AK70,AG70,AC70,Y70,U70,Q70,M70,I70)</f>
        <v>1</v>
      </c>
      <c r="BF70" s="31"/>
      <c r="BG70" s="31"/>
      <c r="BH70" s="34">
        <f>AVERAGE(BA70,AW70,AS70,AO70,AK70,AG70,AC70,Y70,U70,Q70,M70,I70)</f>
        <v>50994</v>
      </c>
      <c r="BI70" s="31" t="str">
        <f>IF(BE70&lt;1,"PASIF",IF(BE70&lt;$BJ$9/2,"AKTIF","LOYAL"))</f>
        <v>AKTIF</v>
      </c>
      <c r="BJ70" s="31" t="str">
        <f>IF(BD70&lt;1000000,"SILVER",IF(BD70&lt;=5000000,"GOLD","PLATINUM"))</f>
        <v>SILVER</v>
      </c>
    </row>
    <row r="71" spans="1:62" s="38" customFormat="1" x14ac:dyDescent="0.25">
      <c r="A71" s="41"/>
      <c r="B71" s="41" t="s">
        <v>255</v>
      </c>
      <c r="C71" s="41">
        <v>12345678</v>
      </c>
      <c r="D71" s="41"/>
      <c r="E71" s="41" t="s">
        <v>17</v>
      </c>
      <c r="F71" s="41">
        <v>2025</v>
      </c>
      <c r="G71" s="41" t="s">
        <v>1346</v>
      </c>
      <c r="H71" s="41"/>
      <c r="I71" s="43"/>
      <c r="J71" s="41"/>
      <c r="K71" s="41"/>
      <c r="L71" s="41" t="s">
        <v>73</v>
      </c>
      <c r="M71" s="41">
        <v>100925</v>
      </c>
      <c r="N71" s="41" t="s">
        <v>256</v>
      </c>
      <c r="O71" s="41" t="s">
        <v>106</v>
      </c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2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  <c r="BC71" s="41"/>
      <c r="BD71" s="42"/>
      <c r="BE71" s="41"/>
      <c r="BF71" s="41"/>
      <c r="BG71" s="41"/>
      <c r="BH71" s="42"/>
      <c r="BI71" s="41"/>
      <c r="BJ71" s="41"/>
    </row>
    <row r="72" spans="1:62" s="38" customFormat="1" x14ac:dyDescent="0.25">
      <c r="A72" s="41"/>
      <c r="B72" s="41" t="s">
        <v>90</v>
      </c>
      <c r="C72" s="41">
        <v>12345678910</v>
      </c>
      <c r="D72" s="41"/>
      <c r="E72" s="41" t="s">
        <v>17</v>
      </c>
      <c r="F72" s="41">
        <v>2025</v>
      </c>
      <c r="G72" s="41" t="s">
        <v>1346</v>
      </c>
      <c r="H72" s="41"/>
      <c r="I72" s="43"/>
      <c r="J72" s="41"/>
      <c r="K72" s="41"/>
      <c r="L72" s="41" t="s">
        <v>73</v>
      </c>
      <c r="M72" s="41">
        <v>50955</v>
      </c>
      <c r="N72" s="41" t="s">
        <v>257</v>
      </c>
      <c r="O72" s="41" t="s">
        <v>258</v>
      </c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2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  <c r="BC72" s="41"/>
      <c r="BD72" s="42"/>
      <c r="BE72" s="41"/>
      <c r="BF72" s="41"/>
      <c r="BG72" s="41"/>
      <c r="BH72" s="42"/>
      <c r="BI72" s="41"/>
      <c r="BJ72" s="41"/>
    </row>
    <row r="73" spans="1:62" s="38" customFormat="1" x14ac:dyDescent="0.25">
      <c r="A73" s="41"/>
      <c r="B73" s="41" t="s">
        <v>259</v>
      </c>
      <c r="C73" s="41">
        <v>81291771923</v>
      </c>
      <c r="D73" s="41"/>
      <c r="E73" s="41" t="s">
        <v>17</v>
      </c>
      <c r="F73" s="41">
        <v>2025</v>
      </c>
      <c r="G73" s="41" t="s">
        <v>1346</v>
      </c>
      <c r="H73" s="41"/>
      <c r="I73" s="43"/>
      <c r="J73" s="41"/>
      <c r="K73" s="41"/>
      <c r="L73" s="41" t="s">
        <v>73</v>
      </c>
      <c r="M73" s="41">
        <v>100946</v>
      </c>
      <c r="N73" s="41" t="s">
        <v>260</v>
      </c>
      <c r="O73" s="41" t="s">
        <v>67</v>
      </c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2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  <c r="BC73" s="41"/>
      <c r="BD73" s="42"/>
      <c r="BE73" s="41"/>
      <c r="BF73" s="41"/>
      <c r="BG73" s="41"/>
      <c r="BH73" s="42"/>
      <c r="BI73" s="41"/>
      <c r="BJ73" s="41"/>
    </row>
    <row r="74" spans="1:62" s="38" customFormat="1" x14ac:dyDescent="0.25">
      <c r="A74" s="41"/>
      <c r="B74" s="41" t="s">
        <v>261</v>
      </c>
      <c r="C74" s="41">
        <v>81938722789</v>
      </c>
      <c r="D74" s="41"/>
      <c r="E74" s="41" t="s">
        <v>17</v>
      </c>
      <c r="F74" s="41">
        <v>2025</v>
      </c>
      <c r="G74" s="41" t="s">
        <v>1346</v>
      </c>
      <c r="H74" s="41"/>
      <c r="I74" s="43"/>
      <c r="J74" s="41"/>
      <c r="K74" s="41"/>
      <c r="L74" s="41" t="s">
        <v>73</v>
      </c>
      <c r="M74" s="41">
        <v>100914</v>
      </c>
      <c r="N74" s="41" t="s">
        <v>262</v>
      </c>
      <c r="O74" s="41" t="s">
        <v>258</v>
      </c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2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  <c r="BC74" s="41"/>
      <c r="BD74" s="42"/>
      <c r="BE74" s="41"/>
      <c r="BF74" s="41"/>
      <c r="BG74" s="41"/>
      <c r="BH74" s="42"/>
      <c r="BI74" s="41"/>
      <c r="BJ74" s="41"/>
    </row>
    <row r="75" spans="1:62" s="38" customFormat="1" x14ac:dyDescent="0.25">
      <c r="A75" s="41"/>
      <c r="B75" s="41" t="s">
        <v>263</v>
      </c>
      <c r="C75" s="41">
        <v>81939771063</v>
      </c>
      <c r="D75" s="41"/>
      <c r="E75" s="41" t="s">
        <v>17</v>
      </c>
      <c r="F75" s="41">
        <v>2025</v>
      </c>
      <c r="G75" s="41" t="s">
        <v>1346</v>
      </c>
      <c r="H75" s="41"/>
      <c r="I75" s="43"/>
      <c r="J75" s="41"/>
      <c r="K75" s="41"/>
      <c r="L75" s="41" t="s">
        <v>73</v>
      </c>
      <c r="M75" s="41">
        <v>100954</v>
      </c>
      <c r="N75" s="41" t="s">
        <v>264</v>
      </c>
      <c r="O75" s="41" t="s">
        <v>111</v>
      </c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2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1"/>
      <c r="BC75" s="41"/>
      <c r="BD75" s="42"/>
      <c r="BE75" s="41"/>
      <c r="BF75" s="41"/>
      <c r="BG75" s="41"/>
      <c r="BH75" s="42"/>
      <c r="BI75" s="41"/>
      <c r="BJ75" s="41"/>
    </row>
    <row r="76" spans="1:62" s="38" customFormat="1" x14ac:dyDescent="0.25">
      <c r="A76" s="41"/>
      <c r="B76" s="41" t="s">
        <v>90</v>
      </c>
      <c r="C76" s="41">
        <v>82185899514</v>
      </c>
      <c r="D76" s="41"/>
      <c r="E76" s="41" t="s">
        <v>17</v>
      </c>
      <c r="F76" s="41">
        <v>2025</v>
      </c>
      <c r="G76" s="41" t="s">
        <v>1346</v>
      </c>
      <c r="H76" s="41"/>
      <c r="I76" s="43"/>
      <c r="J76" s="41"/>
      <c r="K76" s="41"/>
      <c r="L76" s="41" t="s">
        <v>73</v>
      </c>
      <c r="M76" s="41">
        <v>50942</v>
      </c>
      <c r="N76" s="41" t="s">
        <v>265</v>
      </c>
      <c r="O76" s="41" t="s">
        <v>266</v>
      </c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2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  <c r="BA76" s="41"/>
      <c r="BB76" s="41"/>
      <c r="BC76" s="41"/>
      <c r="BD76" s="42"/>
      <c r="BE76" s="41"/>
      <c r="BF76" s="41"/>
      <c r="BG76" s="41"/>
      <c r="BH76" s="42"/>
      <c r="BI76" s="41"/>
      <c r="BJ76" s="41"/>
    </row>
    <row r="77" spans="1:62" s="38" customFormat="1" x14ac:dyDescent="0.25">
      <c r="A77" s="41"/>
      <c r="B77" s="41" t="s">
        <v>267</v>
      </c>
      <c r="C77" s="41">
        <v>82221113339</v>
      </c>
      <c r="D77" s="41"/>
      <c r="E77" s="41" t="s">
        <v>17</v>
      </c>
      <c r="F77" s="41">
        <v>2025</v>
      </c>
      <c r="G77" s="41" t="s">
        <v>1346</v>
      </c>
      <c r="H77" s="41"/>
      <c r="I77" s="43"/>
      <c r="J77" s="41"/>
      <c r="K77" s="41"/>
      <c r="L77" s="41" t="s">
        <v>268</v>
      </c>
      <c r="M77" s="41">
        <v>100943</v>
      </c>
      <c r="N77" s="41" t="s">
        <v>269</v>
      </c>
      <c r="O77" s="41" t="s">
        <v>67</v>
      </c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42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1"/>
      <c r="BA77" s="41"/>
      <c r="BB77" s="41"/>
      <c r="BC77" s="41"/>
      <c r="BD77" s="42"/>
      <c r="BE77" s="41"/>
      <c r="BF77" s="41"/>
      <c r="BG77" s="41"/>
      <c r="BH77" s="42"/>
      <c r="BI77" s="41"/>
      <c r="BJ77" s="41"/>
    </row>
    <row r="78" spans="1:62" s="38" customFormat="1" x14ac:dyDescent="0.25">
      <c r="A78" s="41"/>
      <c r="B78" s="41" t="s">
        <v>270</v>
      </c>
      <c r="C78" s="41">
        <v>82285085956</v>
      </c>
      <c r="D78" s="41"/>
      <c r="E78" s="41" t="s">
        <v>17</v>
      </c>
      <c r="F78" s="41">
        <v>2025</v>
      </c>
      <c r="G78" s="41" t="s">
        <v>1346</v>
      </c>
      <c r="H78" s="41"/>
      <c r="I78" s="43"/>
      <c r="J78" s="41"/>
      <c r="K78" s="41"/>
      <c r="L78" s="41" t="s">
        <v>73</v>
      </c>
      <c r="M78" s="41">
        <v>100924</v>
      </c>
      <c r="N78" s="41" t="s">
        <v>271</v>
      </c>
      <c r="O78" s="41" t="s">
        <v>272</v>
      </c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2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  <c r="BC78" s="41"/>
      <c r="BD78" s="42"/>
      <c r="BE78" s="41"/>
      <c r="BF78" s="41"/>
      <c r="BG78" s="41"/>
      <c r="BH78" s="42"/>
      <c r="BI78" s="41"/>
      <c r="BJ78" s="41"/>
    </row>
    <row r="79" spans="1:62" s="38" customFormat="1" x14ac:dyDescent="0.25">
      <c r="A79" s="41"/>
      <c r="B79" s="41" t="s">
        <v>90</v>
      </c>
      <c r="C79" s="41">
        <v>82338157305</v>
      </c>
      <c r="D79" s="41"/>
      <c r="E79" s="41" t="s">
        <v>17</v>
      </c>
      <c r="F79" s="41">
        <v>2025</v>
      </c>
      <c r="G79" s="41" t="s">
        <v>1346</v>
      </c>
      <c r="H79" s="41"/>
      <c r="I79" s="43"/>
      <c r="J79" s="41"/>
      <c r="K79" s="41"/>
      <c r="L79" s="41" t="s">
        <v>77</v>
      </c>
      <c r="M79" s="41">
        <v>100981</v>
      </c>
      <c r="N79" s="41" t="s">
        <v>273</v>
      </c>
      <c r="O79" s="41" t="s">
        <v>235</v>
      </c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2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  <c r="BA79" s="41"/>
      <c r="BB79" s="41"/>
      <c r="BC79" s="41"/>
      <c r="BD79" s="42"/>
      <c r="BE79" s="41"/>
      <c r="BF79" s="41"/>
      <c r="BG79" s="41"/>
      <c r="BH79" s="42"/>
      <c r="BI79" s="41"/>
      <c r="BJ79" s="41"/>
    </row>
    <row r="80" spans="1:62" s="38" customFormat="1" x14ac:dyDescent="0.25">
      <c r="A80" s="41"/>
      <c r="B80" s="41" t="s">
        <v>274</v>
      </c>
      <c r="C80" s="41">
        <v>85739663242</v>
      </c>
      <c r="D80" s="41"/>
      <c r="E80" s="41" t="s">
        <v>17</v>
      </c>
      <c r="F80" s="41">
        <v>2025</v>
      </c>
      <c r="G80" s="41" t="s">
        <v>1346</v>
      </c>
      <c r="H80" s="41"/>
      <c r="I80" s="43"/>
      <c r="J80" s="41"/>
      <c r="K80" s="41"/>
      <c r="L80" s="41" t="s">
        <v>73</v>
      </c>
      <c r="M80" s="41">
        <v>250915</v>
      </c>
      <c r="N80" s="41" t="s">
        <v>275</v>
      </c>
      <c r="O80" s="41" t="s">
        <v>266</v>
      </c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2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  <c r="BC80" s="41"/>
      <c r="BD80" s="42"/>
      <c r="BE80" s="41"/>
      <c r="BF80" s="41"/>
      <c r="BG80" s="41"/>
      <c r="BH80" s="42"/>
      <c r="BI80" s="41"/>
      <c r="BJ80" s="41"/>
    </row>
    <row r="81" spans="1:62" s="38" customFormat="1" x14ac:dyDescent="0.25">
      <c r="A81" s="41"/>
      <c r="B81" s="41" t="s">
        <v>276</v>
      </c>
      <c r="C81" s="41">
        <v>85780023437</v>
      </c>
      <c r="D81" s="41"/>
      <c r="E81" s="41" t="s">
        <v>17</v>
      </c>
      <c r="F81" s="41">
        <v>2025</v>
      </c>
      <c r="G81" s="41" t="s">
        <v>1346</v>
      </c>
      <c r="H81" s="41"/>
      <c r="I81" s="43"/>
      <c r="J81" s="41"/>
      <c r="K81" s="41"/>
      <c r="L81" s="41" t="s">
        <v>73</v>
      </c>
      <c r="M81" s="41">
        <v>50936</v>
      </c>
      <c r="N81" s="41" t="s">
        <v>277</v>
      </c>
      <c r="O81" s="41" t="s">
        <v>258</v>
      </c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2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1"/>
      <c r="BC81" s="41"/>
      <c r="BD81" s="42"/>
      <c r="BE81" s="41"/>
      <c r="BF81" s="41"/>
      <c r="BG81" s="41"/>
      <c r="BH81" s="42"/>
      <c r="BI81" s="41"/>
      <c r="BJ81" s="41"/>
    </row>
    <row r="82" spans="1:62" s="38" customFormat="1" x14ac:dyDescent="0.25">
      <c r="A82" s="41"/>
      <c r="B82" s="41" t="s">
        <v>278</v>
      </c>
      <c r="C82" s="41">
        <v>85830821994</v>
      </c>
      <c r="D82" s="41"/>
      <c r="E82" s="41" t="s">
        <v>17</v>
      </c>
      <c r="F82" s="41">
        <v>2025</v>
      </c>
      <c r="G82" s="41" t="s">
        <v>1346</v>
      </c>
      <c r="H82" s="41"/>
      <c r="I82" s="43"/>
      <c r="J82" s="41"/>
      <c r="K82" s="41"/>
      <c r="L82" s="41" t="s">
        <v>268</v>
      </c>
      <c r="M82" s="41">
        <v>100934</v>
      </c>
      <c r="N82" s="41" t="s">
        <v>279</v>
      </c>
      <c r="O82" s="41" t="s">
        <v>67</v>
      </c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2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1"/>
      <c r="BC82" s="41"/>
      <c r="BD82" s="42"/>
      <c r="BE82" s="41"/>
      <c r="BF82" s="41"/>
      <c r="BG82" s="41"/>
      <c r="BH82" s="42"/>
      <c r="BI82" s="41"/>
      <c r="BJ82" s="41"/>
    </row>
    <row r="83" spans="1:62" s="38" customFormat="1" x14ac:dyDescent="0.25">
      <c r="A83" s="41"/>
      <c r="B83" s="41" t="s">
        <v>280</v>
      </c>
      <c r="C83" s="41">
        <v>85932208252</v>
      </c>
      <c r="D83" s="41"/>
      <c r="E83" s="41" t="s">
        <v>17</v>
      </c>
      <c r="F83" s="41">
        <v>2025</v>
      </c>
      <c r="G83" s="41" t="s">
        <v>1346</v>
      </c>
      <c r="H83" s="41"/>
      <c r="I83" s="43"/>
      <c r="J83" s="41"/>
      <c r="K83" s="41"/>
      <c r="L83" s="41" t="s">
        <v>73</v>
      </c>
      <c r="M83" s="41">
        <v>100991</v>
      </c>
      <c r="N83" s="41" t="s">
        <v>281</v>
      </c>
      <c r="O83" s="41" t="s">
        <v>67</v>
      </c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2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1"/>
      <c r="BA83" s="41"/>
      <c r="BB83" s="41"/>
      <c r="BC83" s="41"/>
      <c r="BD83" s="42"/>
      <c r="BE83" s="41"/>
      <c r="BF83" s="41"/>
      <c r="BG83" s="41"/>
      <c r="BH83" s="42"/>
      <c r="BI83" s="41"/>
      <c r="BJ83" s="41"/>
    </row>
    <row r="84" spans="1:62" s="38" customFormat="1" x14ac:dyDescent="0.25">
      <c r="A84" s="41"/>
      <c r="B84" s="41" t="s">
        <v>282</v>
      </c>
      <c r="C84" s="41">
        <v>87730300832</v>
      </c>
      <c r="D84" s="41"/>
      <c r="E84" s="41" t="s">
        <v>17</v>
      </c>
      <c r="F84" s="41">
        <v>2025</v>
      </c>
      <c r="G84" s="41" t="s">
        <v>1346</v>
      </c>
      <c r="H84" s="41"/>
      <c r="I84" s="43"/>
      <c r="J84" s="41"/>
      <c r="K84" s="41"/>
      <c r="L84" s="41" t="s">
        <v>73</v>
      </c>
      <c r="M84" s="41">
        <v>100954</v>
      </c>
      <c r="N84" s="41" t="s">
        <v>283</v>
      </c>
      <c r="O84" s="41" t="s">
        <v>111</v>
      </c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2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41"/>
      <c r="BC84" s="41"/>
      <c r="BD84" s="42"/>
      <c r="BE84" s="41"/>
      <c r="BF84" s="41"/>
      <c r="BG84" s="41"/>
      <c r="BH84" s="42"/>
      <c r="BI84" s="41"/>
      <c r="BJ84" s="41"/>
    </row>
    <row r="85" spans="1:62" s="38" customFormat="1" x14ac:dyDescent="0.25">
      <c r="A85" s="41"/>
      <c r="B85" s="41" t="s">
        <v>284</v>
      </c>
      <c r="C85" s="41">
        <v>87747820851</v>
      </c>
      <c r="D85" s="41"/>
      <c r="E85" s="41" t="s">
        <v>17</v>
      </c>
      <c r="F85" s="41">
        <v>2025</v>
      </c>
      <c r="G85" s="41" t="s">
        <v>1346</v>
      </c>
      <c r="H85" s="41"/>
      <c r="I85" s="43"/>
      <c r="J85" s="41"/>
      <c r="K85" s="41"/>
      <c r="L85" s="41" t="s">
        <v>73</v>
      </c>
      <c r="M85" s="41">
        <v>50994</v>
      </c>
      <c r="N85" s="41" t="s">
        <v>285</v>
      </c>
      <c r="O85" s="41" t="s">
        <v>266</v>
      </c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2"/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  <c r="BA85" s="41"/>
      <c r="BB85" s="41"/>
      <c r="BC85" s="41"/>
      <c r="BD85" s="42"/>
      <c r="BE85" s="41"/>
      <c r="BF85" s="41"/>
      <c r="BG85" s="41"/>
      <c r="BH85" s="42"/>
      <c r="BI85" s="41"/>
      <c r="BJ85" s="41"/>
    </row>
    <row r="86" spans="1:62" s="38" customFormat="1" x14ac:dyDescent="0.25">
      <c r="A86" s="41"/>
      <c r="B86" s="41" t="s">
        <v>286</v>
      </c>
      <c r="C86" s="41">
        <v>87866312332</v>
      </c>
      <c r="D86" s="41"/>
      <c r="E86" s="41" t="s">
        <v>17</v>
      </c>
      <c r="F86" s="41">
        <v>2025</v>
      </c>
      <c r="G86" s="41" t="s">
        <v>1346</v>
      </c>
      <c r="H86" s="41"/>
      <c r="I86" s="43"/>
      <c r="J86" s="41"/>
      <c r="K86" s="41"/>
      <c r="L86" s="41" t="s">
        <v>73</v>
      </c>
      <c r="M86" s="41">
        <v>50985</v>
      </c>
      <c r="N86" s="41" t="s">
        <v>287</v>
      </c>
      <c r="O86" s="41" t="s">
        <v>266</v>
      </c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2"/>
      <c r="AH86" s="41"/>
      <c r="AI86" s="41"/>
      <c r="AJ86" s="41"/>
      <c r="AK86" s="41"/>
      <c r="AL86" s="41"/>
      <c r="AM86" s="41"/>
      <c r="AN86" s="41"/>
      <c r="AO86" s="41"/>
      <c r="AP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41"/>
      <c r="BB86" s="41"/>
      <c r="BC86" s="41"/>
      <c r="BD86" s="42"/>
      <c r="BE86" s="41"/>
      <c r="BF86" s="41"/>
      <c r="BG86" s="41"/>
      <c r="BH86" s="42"/>
      <c r="BI86" s="41"/>
      <c r="BJ86" s="41"/>
    </row>
    <row r="87" spans="1:62" s="38" customFormat="1" x14ac:dyDescent="0.25">
      <c r="A87" s="41"/>
      <c r="B87" s="41" t="s">
        <v>288</v>
      </c>
      <c r="C87" s="41">
        <v>6282190125606</v>
      </c>
      <c r="D87" s="41"/>
      <c r="E87" s="41" t="s">
        <v>17</v>
      </c>
      <c r="F87" s="41">
        <v>2025</v>
      </c>
      <c r="G87" s="41" t="s">
        <v>1346</v>
      </c>
      <c r="H87" s="41"/>
      <c r="I87" s="43"/>
      <c r="J87" s="41"/>
      <c r="K87" s="41"/>
      <c r="L87" s="41" t="s">
        <v>73</v>
      </c>
      <c r="M87" s="41">
        <v>50912</v>
      </c>
      <c r="N87" s="41" t="s">
        <v>289</v>
      </c>
      <c r="O87" s="41" t="s">
        <v>272</v>
      </c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2"/>
      <c r="AH87" s="41"/>
      <c r="AI87" s="41"/>
      <c r="AJ87" s="41"/>
      <c r="AK87" s="41"/>
      <c r="AL87" s="41"/>
      <c r="AM87" s="41"/>
      <c r="AN87" s="41"/>
      <c r="AO87" s="41"/>
      <c r="AP87" s="41"/>
      <c r="AQ87" s="41"/>
      <c r="AR87" s="41"/>
      <c r="AS87" s="41"/>
      <c r="AT87" s="41"/>
      <c r="AU87" s="41"/>
      <c r="AV87" s="41"/>
      <c r="AW87" s="41"/>
      <c r="AX87" s="41"/>
      <c r="AY87" s="41"/>
      <c r="AZ87" s="41"/>
      <c r="BA87" s="41"/>
      <c r="BB87" s="41"/>
      <c r="BC87" s="41"/>
      <c r="BD87" s="42"/>
      <c r="BE87" s="41"/>
      <c r="BF87" s="41"/>
      <c r="BG87" s="41"/>
      <c r="BH87" s="42"/>
      <c r="BI87" s="41"/>
      <c r="BJ87" s="41"/>
    </row>
    <row r="88" spans="1:62" s="38" customFormat="1" x14ac:dyDescent="0.25">
      <c r="A88" s="41"/>
      <c r="B88" s="41" t="s">
        <v>295</v>
      </c>
      <c r="C88" s="41" t="s">
        <v>296</v>
      </c>
      <c r="D88" s="41"/>
      <c r="E88" s="41" t="s">
        <v>17</v>
      </c>
      <c r="F88" s="41">
        <v>2025</v>
      </c>
      <c r="G88" s="41" t="s">
        <v>1346</v>
      </c>
      <c r="H88" s="41"/>
      <c r="I88" s="43"/>
      <c r="J88" s="41"/>
      <c r="K88" s="41"/>
      <c r="L88" s="41" t="s">
        <v>268</v>
      </c>
      <c r="M88" s="41">
        <v>100902</v>
      </c>
      <c r="N88" s="41" t="s">
        <v>297</v>
      </c>
      <c r="O88" s="41" t="s">
        <v>67</v>
      </c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2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  <c r="AW88" s="41"/>
      <c r="AX88" s="41"/>
      <c r="AY88" s="41"/>
      <c r="AZ88" s="41"/>
      <c r="BA88" s="41"/>
      <c r="BB88" s="41"/>
      <c r="BC88" s="41"/>
      <c r="BD88" s="42"/>
      <c r="BE88" s="41"/>
      <c r="BF88" s="41"/>
      <c r="BG88" s="41"/>
      <c r="BH88" s="42"/>
      <c r="BI88" s="41"/>
      <c r="BJ88" s="41"/>
    </row>
    <row r="89" spans="1:62" s="38" customFormat="1" x14ac:dyDescent="0.25">
      <c r="A89" s="41"/>
      <c r="B89" s="41" t="s">
        <v>90</v>
      </c>
      <c r="C89" s="41" t="s">
        <v>298</v>
      </c>
      <c r="D89" s="41"/>
      <c r="E89" s="41" t="s">
        <v>17</v>
      </c>
      <c r="F89" s="41">
        <v>2025</v>
      </c>
      <c r="G89" s="41" t="s">
        <v>1346</v>
      </c>
      <c r="H89" s="41"/>
      <c r="I89" s="43"/>
      <c r="J89" s="41"/>
      <c r="K89" s="41"/>
      <c r="L89" s="41" t="s">
        <v>299</v>
      </c>
      <c r="M89" s="41">
        <v>50980</v>
      </c>
      <c r="N89" s="41" t="s">
        <v>300</v>
      </c>
      <c r="O89" s="41" t="s">
        <v>266</v>
      </c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2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41"/>
      <c r="BC89" s="41"/>
      <c r="BD89" s="42"/>
      <c r="BE89" s="41"/>
      <c r="BF89" s="41"/>
      <c r="BG89" s="41"/>
      <c r="BH89" s="42"/>
      <c r="BI89" s="41"/>
      <c r="BJ89" s="41"/>
    </row>
    <row r="90" spans="1:62" s="38" customFormat="1" x14ac:dyDescent="0.25">
      <c r="A90" s="41"/>
      <c r="B90" s="41" t="s">
        <v>301</v>
      </c>
      <c r="C90" s="41" t="s">
        <v>302</v>
      </c>
      <c r="D90" s="41"/>
      <c r="E90" s="41" t="s">
        <v>17</v>
      </c>
      <c r="F90" s="41">
        <v>2025</v>
      </c>
      <c r="G90" s="41" t="s">
        <v>1346</v>
      </c>
      <c r="H90" s="41"/>
      <c r="I90" s="43"/>
      <c r="J90" s="41"/>
      <c r="K90" s="41"/>
      <c r="L90" s="41" t="s">
        <v>73</v>
      </c>
      <c r="M90" s="41">
        <v>50963</v>
      </c>
      <c r="N90" s="41" t="s">
        <v>303</v>
      </c>
      <c r="O90" s="41" t="s">
        <v>235</v>
      </c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2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1"/>
      <c r="BC90" s="41"/>
      <c r="BD90" s="42"/>
      <c r="BE90" s="41"/>
      <c r="BF90" s="41"/>
      <c r="BG90" s="41"/>
      <c r="BH90" s="42"/>
      <c r="BI90" s="41"/>
      <c r="BJ90" s="41"/>
    </row>
    <row r="91" spans="1:62" s="38" customFormat="1" x14ac:dyDescent="0.25">
      <c r="A91" s="41"/>
      <c r="B91" s="41" t="s">
        <v>304</v>
      </c>
      <c r="C91" s="41" t="s">
        <v>305</v>
      </c>
      <c r="D91" s="41"/>
      <c r="E91" s="41" t="s">
        <v>17</v>
      </c>
      <c r="F91" s="41">
        <v>2025</v>
      </c>
      <c r="G91" s="41" t="s">
        <v>1346</v>
      </c>
      <c r="H91" s="41"/>
      <c r="I91" s="43"/>
      <c r="J91" s="41"/>
      <c r="K91" s="41"/>
      <c r="L91" s="41" t="s">
        <v>73</v>
      </c>
      <c r="M91" s="41">
        <v>100909</v>
      </c>
      <c r="N91" s="41" t="s">
        <v>306</v>
      </c>
      <c r="O91" s="41" t="s">
        <v>235</v>
      </c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2"/>
      <c r="AH91" s="41"/>
      <c r="AI91" s="41"/>
      <c r="AJ91" s="41"/>
      <c r="AK91" s="41"/>
      <c r="AL91" s="41"/>
      <c r="AM91" s="41"/>
      <c r="AN91" s="41"/>
      <c r="AO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1"/>
      <c r="BA91" s="41"/>
      <c r="BB91" s="41"/>
      <c r="BC91" s="41"/>
      <c r="BD91" s="42"/>
      <c r="BE91" s="41"/>
      <c r="BF91" s="41"/>
      <c r="BG91" s="41"/>
      <c r="BH91" s="42"/>
      <c r="BI91" s="41"/>
      <c r="BJ91" s="41"/>
    </row>
    <row r="92" spans="1:62" s="38" customFormat="1" x14ac:dyDescent="0.25">
      <c r="A92" s="41"/>
      <c r="B92" s="41" t="s">
        <v>307</v>
      </c>
      <c r="C92" s="41" t="s">
        <v>308</v>
      </c>
      <c r="D92" s="41"/>
      <c r="E92" s="41" t="s">
        <v>17</v>
      </c>
      <c r="F92" s="41">
        <v>2025</v>
      </c>
      <c r="G92" s="41" t="s">
        <v>1346</v>
      </c>
      <c r="H92" s="41"/>
      <c r="I92" s="43"/>
      <c r="J92" s="41"/>
      <c r="K92" s="41"/>
      <c r="L92" s="41" t="s">
        <v>65</v>
      </c>
      <c r="M92" s="41">
        <v>10918</v>
      </c>
      <c r="N92" s="41" t="s">
        <v>309</v>
      </c>
      <c r="O92" s="41" t="s">
        <v>79</v>
      </c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2"/>
      <c r="AH92" s="41"/>
      <c r="AI92" s="41"/>
      <c r="AJ92" s="41"/>
      <c r="AK92" s="41"/>
      <c r="AL92" s="41"/>
      <c r="AM92" s="41"/>
      <c r="AN92" s="41"/>
      <c r="AO92" s="41"/>
      <c r="AP92" s="41"/>
      <c r="AQ92" s="41"/>
      <c r="AR92" s="41"/>
      <c r="AS92" s="41"/>
      <c r="AT92" s="41"/>
      <c r="AU92" s="41"/>
      <c r="AV92" s="41"/>
      <c r="AW92" s="41"/>
      <c r="AX92" s="41"/>
      <c r="AY92" s="41"/>
      <c r="AZ92" s="41"/>
      <c r="BA92" s="41"/>
      <c r="BB92" s="41"/>
      <c r="BC92" s="41"/>
      <c r="BD92" s="42"/>
      <c r="BE92" s="41"/>
      <c r="BF92" s="41"/>
      <c r="BG92" s="41"/>
      <c r="BH92" s="42"/>
      <c r="BI92" s="41"/>
      <c r="BJ92" s="41"/>
    </row>
    <row r="93" spans="1:62" s="38" customFormat="1" x14ac:dyDescent="0.25">
      <c r="A93" s="41"/>
      <c r="B93" s="41" t="s">
        <v>310</v>
      </c>
      <c r="C93" s="41" t="s">
        <v>311</v>
      </c>
      <c r="D93" s="41"/>
      <c r="E93" s="41" t="s">
        <v>17</v>
      </c>
      <c r="F93" s="41">
        <v>2025</v>
      </c>
      <c r="G93" s="41" t="s">
        <v>1346</v>
      </c>
      <c r="H93" s="41"/>
      <c r="I93" s="43"/>
      <c r="J93" s="41"/>
      <c r="K93" s="41"/>
      <c r="L93" s="41" t="s">
        <v>73</v>
      </c>
      <c r="M93" s="41">
        <v>50917</v>
      </c>
      <c r="N93" s="41" t="s">
        <v>312</v>
      </c>
      <c r="O93" s="41" t="s">
        <v>106</v>
      </c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2"/>
      <c r="AH93" s="41"/>
      <c r="AI93" s="41"/>
      <c r="AJ93" s="41"/>
      <c r="AK93" s="41"/>
      <c r="AL93" s="41"/>
      <c r="AM93" s="41"/>
      <c r="AN93" s="41"/>
      <c r="AO93" s="41"/>
      <c r="AP93" s="41"/>
      <c r="AQ93" s="41"/>
      <c r="AR93" s="41"/>
      <c r="AS93" s="41"/>
      <c r="AT93" s="41"/>
      <c r="AU93" s="41"/>
      <c r="AV93" s="41"/>
      <c r="AW93" s="41"/>
      <c r="AX93" s="41"/>
      <c r="AY93" s="41"/>
      <c r="AZ93" s="41"/>
      <c r="BA93" s="41"/>
      <c r="BB93" s="41"/>
      <c r="BC93" s="41"/>
      <c r="BD93" s="42"/>
      <c r="BE93" s="41"/>
      <c r="BF93" s="41"/>
      <c r="BG93" s="41"/>
      <c r="BH93" s="42"/>
      <c r="BI93" s="41"/>
      <c r="BJ93" s="41"/>
    </row>
    <row r="94" spans="1:62" s="38" customFormat="1" x14ac:dyDescent="0.25">
      <c r="A94" s="41"/>
      <c r="B94" s="41" t="s">
        <v>313</v>
      </c>
      <c r="C94" s="41" t="s">
        <v>314</v>
      </c>
      <c r="D94" s="41"/>
      <c r="E94" s="41" t="s">
        <v>17</v>
      </c>
      <c r="F94" s="41">
        <v>2025</v>
      </c>
      <c r="G94" s="41" t="s">
        <v>1346</v>
      </c>
      <c r="H94" s="41"/>
      <c r="I94" s="43"/>
      <c r="J94" s="41"/>
      <c r="K94" s="41"/>
      <c r="L94" s="41" t="s">
        <v>73</v>
      </c>
      <c r="M94" s="41">
        <v>50976</v>
      </c>
      <c r="N94" s="41" t="s">
        <v>315</v>
      </c>
      <c r="O94" s="41" t="s">
        <v>67</v>
      </c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2"/>
      <c r="AH94" s="41"/>
      <c r="AI94" s="41"/>
      <c r="AJ94" s="41"/>
      <c r="AK94" s="41"/>
      <c r="AL94" s="41"/>
      <c r="AM94" s="41"/>
      <c r="AN94" s="41"/>
      <c r="AO94" s="41"/>
      <c r="AP94" s="41"/>
      <c r="AQ94" s="41"/>
      <c r="AR94" s="41"/>
      <c r="AS94" s="41"/>
      <c r="AT94" s="41"/>
      <c r="AU94" s="41"/>
      <c r="AV94" s="41"/>
      <c r="AW94" s="41"/>
      <c r="AX94" s="41"/>
      <c r="AY94" s="41"/>
      <c r="AZ94" s="41"/>
      <c r="BA94" s="41"/>
      <c r="BB94" s="41"/>
      <c r="BC94" s="41"/>
      <c r="BD94" s="42"/>
      <c r="BE94" s="41"/>
      <c r="BF94" s="41"/>
      <c r="BG94" s="41"/>
      <c r="BH94" s="42"/>
      <c r="BI94" s="41"/>
      <c r="BJ94" s="41"/>
    </row>
    <row r="95" spans="1:62" s="38" customFormat="1" x14ac:dyDescent="0.25">
      <c r="A95" s="41"/>
      <c r="B95" s="41" t="s">
        <v>316</v>
      </c>
      <c r="C95" s="41" t="s">
        <v>317</v>
      </c>
      <c r="D95" s="41"/>
      <c r="E95" s="41" t="s">
        <v>17</v>
      </c>
      <c r="F95" s="41">
        <v>2025</v>
      </c>
      <c r="G95" s="41" t="s">
        <v>1346</v>
      </c>
      <c r="H95" s="41"/>
      <c r="I95" s="43"/>
      <c r="J95" s="41"/>
      <c r="K95" s="41"/>
      <c r="L95" s="41" t="s">
        <v>268</v>
      </c>
      <c r="M95" s="41">
        <v>100953</v>
      </c>
      <c r="N95" s="41" t="s">
        <v>318</v>
      </c>
      <c r="O95" s="41" t="s">
        <v>319</v>
      </c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2"/>
      <c r="AH95" s="41"/>
      <c r="AI95" s="41"/>
      <c r="AJ95" s="41"/>
      <c r="AK95" s="41"/>
      <c r="AL95" s="41"/>
      <c r="AM95" s="41"/>
      <c r="AN95" s="41"/>
      <c r="AO95" s="41"/>
      <c r="AP95" s="41"/>
      <c r="AQ95" s="41"/>
      <c r="AR95" s="41"/>
      <c r="AS95" s="41"/>
      <c r="AT95" s="41"/>
      <c r="AU95" s="41"/>
      <c r="AV95" s="41"/>
      <c r="AW95" s="41"/>
      <c r="AX95" s="41"/>
      <c r="AY95" s="41"/>
      <c r="AZ95" s="41"/>
      <c r="BA95" s="41"/>
      <c r="BB95" s="41"/>
      <c r="BC95" s="41"/>
      <c r="BD95" s="42"/>
      <c r="BE95" s="41"/>
      <c r="BF95" s="41"/>
      <c r="BG95" s="41"/>
      <c r="BH95" s="42"/>
      <c r="BI95" s="41"/>
      <c r="BJ95" s="41"/>
    </row>
    <row r="96" spans="1:62" s="38" customFormat="1" x14ac:dyDescent="0.25">
      <c r="A96" s="41"/>
      <c r="B96" s="41" t="s">
        <v>320</v>
      </c>
      <c r="C96" s="41" t="s">
        <v>321</v>
      </c>
      <c r="D96" s="41"/>
      <c r="E96" s="41" t="s">
        <v>17</v>
      </c>
      <c r="F96" s="41">
        <v>2025</v>
      </c>
      <c r="G96" s="41" t="s">
        <v>1346</v>
      </c>
      <c r="H96" s="41"/>
      <c r="I96" s="43"/>
      <c r="J96" s="41"/>
      <c r="K96" s="41"/>
      <c r="L96" s="41" t="s">
        <v>73</v>
      </c>
      <c r="M96" s="41">
        <v>100901</v>
      </c>
      <c r="N96" s="41" t="s">
        <v>322</v>
      </c>
      <c r="O96" s="41" t="s">
        <v>67</v>
      </c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2"/>
      <c r="AH96" s="41"/>
      <c r="AI96" s="41"/>
      <c r="AJ96" s="41"/>
      <c r="AK96" s="41"/>
      <c r="AL96" s="41"/>
      <c r="AM96" s="41"/>
      <c r="AN96" s="41"/>
      <c r="AO96" s="41"/>
      <c r="AP96" s="41"/>
      <c r="AQ96" s="41"/>
      <c r="AR96" s="41"/>
      <c r="AS96" s="41"/>
      <c r="AT96" s="41"/>
      <c r="AU96" s="41"/>
      <c r="AV96" s="41"/>
      <c r="AW96" s="41"/>
      <c r="AX96" s="41"/>
      <c r="AY96" s="41"/>
      <c r="AZ96" s="41"/>
      <c r="BA96" s="41"/>
      <c r="BB96" s="41"/>
      <c r="BC96" s="41"/>
      <c r="BD96" s="42"/>
      <c r="BE96" s="41"/>
      <c r="BF96" s="41"/>
      <c r="BG96" s="41"/>
      <c r="BH96" s="42"/>
      <c r="BI96" s="41"/>
      <c r="BJ96" s="41"/>
    </row>
    <row r="97" spans="1:62" s="38" customFormat="1" x14ac:dyDescent="0.25">
      <c r="A97" s="41"/>
      <c r="B97" s="41" t="s">
        <v>323</v>
      </c>
      <c r="C97" s="41" t="s">
        <v>324</v>
      </c>
      <c r="D97" s="41"/>
      <c r="E97" s="41" t="s">
        <v>17</v>
      </c>
      <c r="F97" s="41">
        <v>2025</v>
      </c>
      <c r="G97" s="41" t="s">
        <v>1346</v>
      </c>
      <c r="H97" s="41"/>
      <c r="I97" s="43"/>
      <c r="J97" s="41"/>
      <c r="K97" s="41"/>
      <c r="L97" s="41" t="s">
        <v>77</v>
      </c>
      <c r="M97" s="41">
        <v>50967</v>
      </c>
      <c r="N97" s="41" t="s">
        <v>325</v>
      </c>
      <c r="O97" s="41" t="s">
        <v>111</v>
      </c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2"/>
      <c r="AH97" s="41"/>
      <c r="AI97" s="41"/>
      <c r="AJ97" s="41"/>
      <c r="AK97" s="41"/>
      <c r="AL97" s="41"/>
      <c r="AM97" s="41"/>
      <c r="AN97" s="41"/>
      <c r="AO97" s="41"/>
      <c r="AP97" s="41"/>
      <c r="AQ97" s="41"/>
      <c r="AR97" s="41"/>
      <c r="AS97" s="41"/>
      <c r="AT97" s="41"/>
      <c r="AU97" s="41"/>
      <c r="AV97" s="41"/>
      <c r="AW97" s="41"/>
      <c r="AX97" s="41"/>
      <c r="AY97" s="41"/>
      <c r="AZ97" s="41"/>
      <c r="BA97" s="41"/>
      <c r="BB97" s="41"/>
      <c r="BC97" s="41"/>
      <c r="BD97" s="42"/>
      <c r="BE97" s="41"/>
      <c r="BF97" s="41"/>
      <c r="BG97" s="41"/>
      <c r="BH97" s="42"/>
      <c r="BI97" s="41"/>
      <c r="BJ97" s="41"/>
    </row>
    <row r="98" spans="1:62" s="38" customFormat="1" x14ac:dyDescent="0.25">
      <c r="A98" s="41"/>
      <c r="B98" s="41" t="s">
        <v>326</v>
      </c>
      <c r="C98" s="41" t="s">
        <v>327</v>
      </c>
      <c r="D98" s="41"/>
      <c r="E98" s="41" t="s">
        <v>17</v>
      </c>
      <c r="F98" s="41">
        <v>2025</v>
      </c>
      <c r="G98" s="41" t="s">
        <v>1346</v>
      </c>
      <c r="H98" s="41"/>
      <c r="I98" s="43"/>
      <c r="J98" s="41"/>
      <c r="K98" s="41"/>
      <c r="L98" s="41" t="s">
        <v>77</v>
      </c>
      <c r="M98" s="41">
        <v>100979</v>
      </c>
      <c r="N98" s="41" t="s">
        <v>328</v>
      </c>
      <c r="O98" s="41" t="s">
        <v>106</v>
      </c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42"/>
      <c r="AH98" s="41"/>
      <c r="AI98" s="41"/>
      <c r="AJ98" s="41"/>
      <c r="AK98" s="41"/>
      <c r="AL98" s="41"/>
      <c r="AM98" s="41"/>
      <c r="AN98" s="41"/>
      <c r="AO98" s="41"/>
      <c r="AP98" s="41"/>
      <c r="AQ98" s="41"/>
      <c r="AR98" s="41"/>
      <c r="AS98" s="41"/>
      <c r="AT98" s="41"/>
      <c r="AU98" s="41"/>
      <c r="AV98" s="41"/>
      <c r="AW98" s="41"/>
      <c r="AX98" s="41"/>
      <c r="AY98" s="41"/>
      <c r="AZ98" s="41"/>
      <c r="BA98" s="41"/>
      <c r="BB98" s="41"/>
      <c r="BC98" s="41"/>
      <c r="BD98" s="42"/>
      <c r="BE98" s="41"/>
      <c r="BF98" s="41"/>
      <c r="BG98" s="41"/>
      <c r="BH98" s="42"/>
      <c r="BI98" s="41"/>
      <c r="BJ98" s="41"/>
    </row>
    <row r="99" spans="1:62" s="38" customFormat="1" x14ac:dyDescent="0.25">
      <c r="A99" s="41"/>
      <c r="B99" s="41" t="s">
        <v>90</v>
      </c>
      <c r="C99" s="41" t="s">
        <v>329</v>
      </c>
      <c r="D99" s="41"/>
      <c r="E99" s="41" t="s">
        <v>17</v>
      </c>
      <c r="F99" s="41">
        <v>2025</v>
      </c>
      <c r="G99" s="41" t="s">
        <v>1346</v>
      </c>
      <c r="H99" s="41"/>
      <c r="I99" s="43"/>
      <c r="J99" s="41"/>
      <c r="K99" s="41"/>
      <c r="L99" s="41" t="s">
        <v>73</v>
      </c>
      <c r="M99" s="41">
        <v>100968</v>
      </c>
      <c r="N99" s="41" t="s">
        <v>330</v>
      </c>
      <c r="O99" s="41" t="s">
        <v>235</v>
      </c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2"/>
      <c r="AH99" s="41"/>
      <c r="AI99" s="41"/>
      <c r="AJ99" s="41"/>
      <c r="AK99" s="41"/>
      <c r="AL99" s="41"/>
      <c r="AM99" s="41"/>
      <c r="AN99" s="41"/>
      <c r="AO99" s="41"/>
      <c r="AP99" s="41"/>
      <c r="AQ99" s="41"/>
      <c r="AR99" s="41"/>
      <c r="AS99" s="41"/>
      <c r="AT99" s="41"/>
      <c r="AU99" s="41"/>
      <c r="AV99" s="41"/>
      <c r="AW99" s="41"/>
      <c r="AX99" s="41"/>
      <c r="AY99" s="41"/>
      <c r="AZ99" s="41"/>
      <c r="BA99" s="41"/>
      <c r="BB99" s="41"/>
      <c r="BC99" s="41"/>
      <c r="BD99" s="42"/>
      <c r="BE99" s="41"/>
      <c r="BF99" s="41"/>
      <c r="BG99" s="41"/>
      <c r="BH99" s="42"/>
      <c r="BI99" s="41"/>
      <c r="BJ99" s="41"/>
    </row>
    <row r="100" spans="1:62" s="38" customFormat="1" x14ac:dyDescent="0.25">
      <c r="A100" s="41"/>
      <c r="B100" s="41" t="s">
        <v>331</v>
      </c>
      <c r="C100" s="41" t="s">
        <v>332</v>
      </c>
      <c r="D100" s="41"/>
      <c r="E100" s="41" t="s">
        <v>17</v>
      </c>
      <c r="F100" s="41">
        <v>2025</v>
      </c>
      <c r="G100" s="41" t="s">
        <v>1346</v>
      </c>
      <c r="H100" s="41"/>
      <c r="I100" s="43"/>
      <c r="J100" s="41"/>
      <c r="K100" s="41"/>
      <c r="L100" s="41" t="s">
        <v>268</v>
      </c>
      <c r="M100" s="41">
        <v>100942</v>
      </c>
      <c r="N100" s="41" t="s">
        <v>333</v>
      </c>
      <c r="O100" s="41" t="s">
        <v>258</v>
      </c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2"/>
      <c r="AH100" s="41"/>
      <c r="AI100" s="41"/>
      <c r="AJ100" s="41"/>
      <c r="AK100" s="41"/>
      <c r="AL100" s="41"/>
      <c r="AM100" s="41"/>
      <c r="AN100" s="41"/>
      <c r="AO100" s="41"/>
      <c r="AP100" s="41"/>
      <c r="AQ100" s="41"/>
      <c r="AR100" s="41"/>
      <c r="AS100" s="41"/>
      <c r="AT100" s="41"/>
      <c r="AU100" s="41"/>
      <c r="AV100" s="41"/>
      <c r="AW100" s="41"/>
      <c r="AX100" s="41"/>
      <c r="AY100" s="41"/>
      <c r="AZ100" s="41"/>
      <c r="BA100" s="41"/>
      <c r="BB100" s="41"/>
      <c r="BC100" s="41"/>
      <c r="BD100" s="42"/>
      <c r="BE100" s="41"/>
      <c r="BF100" s="41"/>
      <c r="BG100" s="41"/>
      <c r="BH100" s="42"/>
      <c r="BI100" s="41"/>
      <c r="BJ100" s="41"/>
    </row>
    <row r="101" spans="1:62" s="38" customFormat="1" x14ac:dyDescent="0.25">
      <c r="A101" s="41"/>
      <c r="B101" s="41" t="s">
        <v>334</v>
      </c>
      <c r="C101" s="41" t="s">
        <v>335</v>
      </c>
      <c r="D101" s="41"/>
      <c r="E101" s="41" t="s">
        <v>17</v>
      </c>
      <c r="F101" s="41">
        <v>2025</v>
      </c>
      <c r="G101" s="41" t="s">
        <v>1346</v>
      </c>
      <c r="H101" s="41"/>
      <c r="I101" s="43"/>
      <c r="J101" s="41"/>
      <c r="K101" s="41"/>
      <c r="L101" s="41" t="s">
        <v>73</v>
      </c>
      <c r="M101" s="41">
        <v>50970</v>
      </c>
      <c r="N101" s="41" t="s">
        <v>336</v>
      </c>
      <c r="O101" s="41" t="s">
        <v>272</v>
      </c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2"/>
      <c r="AH101" s="41"/>
      <c r="AI101" s="41"/>
      <c r="AJ101" s="41"/>
      <c r="AK101" s="41"/>
      <c r="AL101" s="41"/>
      <c r="AM101" s="41"/>
      <c r="AN101" s="41"/>
      <c r="AO101" s="41"/>
      <c r="AP101" s="41"/>
      <c r="AQ101" s="41"/>
      <c r="AR101" s="41"/>
      <c r="AS101" s="41"/>
      <c r="AT101" s="41"/>
      <c r="AU101" s="41"/>
      <c r="AV101" s="41"/>
      <c r="AW101" s="41"/>
      <c r="AX101" s="41"/>
      <c r="AY101" s="41"/>
      <c r="AZ101" s="41"/>
      <c r="BA101" s="41"/>
      <c r="BB101" s="41"/>
      <c r="BC101" s="41"/>
      <c r="BD101" s="42"/>
      <c r="BE101" s="41"/>
      <c r="BF101" s="41"/>
      <c r="BG101" s="41"/>
      <c r="BH101" s="42"/>
      <c r="BI101" s="41"/>
      <c r="BJ101" s="41"/>
    </row>
    <row r="102" spans="1:62" s="38" customFormat="1" x14ac:dyDescent="0.25">
      <c r="A102" s="41"/>
      <c r="B102" s="41" t="s">
        <v>90</v>
      </c>
      <c r="C102" s="41" t="s">
        <v>337</v>
      </c>
      <c r="D102" s="41"/>
      <c r="E102" s="41" t="s">
        <v>17</v>
      </c>
      <c r="F102" s="41">
        <v>2025</v>
      </c>
      <c r="G102" s="41" t="s">
        <v>1346</v>
      </c>
      <c r="H102" s="41"/>
      <c r="I102" s="43"/>
      <c r="J102" s="41"/>
      <c r="K102" s="41"/>
      <c r="L102" s="41" t="s">
        <v>77</v>
      </c>
      <c r="M102" s="41">
        <v>500921</v>
      </c>
      <c r="N102" s="41" t="s">
        <v>338</v>
      </c>
      <c r="O102" s="41" t="s">
        <v>235</v>
      </c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2"/>
      <c r="AH102" s="41"/>
      <c r="AI102" s="41"/>
      <c r="AJ102" s="41"/>
      <c r="AK102" s="41"/>
      <c r="AL102" s="41"/>
      <c r="AM102" s="41"/>
      <c r="AN102" s="41"/>
      <c r="AO102" s="41"/>
      <c r="AP102" s="41"/>
      <c r="AQ102" s="41"/>
      <c r="AR102" s="41"/>
      <c r="AS102" s="41"/>
      <c r="AT102" s="41"/>
      <c r="AU102" s="41"/>
      <c r="AV102" s="41"/>
      <c r="AW102" s="41"/>
      <c r="AX102" s="41"/>
      <c r="AY102" s="41"/>
      <c r="AZ102" s="41"/>
      <c r="BA102" s="41"/>
      <c r="BB102" s="41"/>
      <c r="BC102" s="41"/>
      <c r="BD102" s="42"/>
      <c r="BE102" s="41"/>
      <c r="BF102" s="41"/>
      <c r="BG102" s="41"/>
      <c r="BH102" s="42"/>
      <c r="BI102" s="41"/>
      <c r="BJ102" s="41"/>
    </row>
    <row r="103" spans="1:62" s="38" customFormat="1" x14ac:dyDescent="0.25">
      <c r="A103" s="41"/>
      <c r="B103" s="41" t="s">
        <v>339</v>
      </c>
      <c r="C103" s="41" t="s">
        <v>340</v>
      </c>
      <c r="D103" s="41"/>
      <c r="E103" s="41" t="s">
        <v>17</v>
      </c>
      <c r="F103" s="41">
        <v>2025</v>
      </c>
      <c r="G103" s="41" t="s">
        <v>1346</v>
      </c>
      <c r="H103" s="41"/>
      <c r="I103" s="43"/>
      <c r="J103" s="41"/>
      <c r="K103" s="41"/>
      <c r="L103" s="41" t="s">
        <v>73</v>
      </c>
      <c r="M103" s="41">
        <v>50905</v>
      </c>
      <c r="N103" s="41" t="s">
        <v>341</v>
      </c>
      <c r="O103" s="41" t="s">
        <v>111</v>
      </c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2"/>
      <c r="AH103" s="41"/>
      <c r="AI103" s="41"/>
      <c r="AJ103" s="41"/>
      <c r="AK103" s="41"/>
      <c r="AL103" s="41"/>
      <c r="AM103" s="41"/>
      <c r="AN103" s="41"/>
      <c r="AO103" s="41"/>
      <c r="AP103" s="41"/>
      <c r="AQ103" s="41"/>
      <c r="AR103" s="41"/>
      <c r="AS103" s="41"/>
      <c r="AT103" s="41"/>
      <c r="AU103" s="41"/>
      <c r="AV103" s="41"/>
      <c r="AW103" s="41"/>
      <c r="AX103" s="41"/>
      <c r="AY103" s="41"/>
      <c r="AZ103" s="41"/>
      <c r="BA103" s="41"/>
      <c r="BB103" s="41"/>
      <c r="BC103" s="41"/>
      <c r="BD103" s="42"/>
      <c r="BE103" s="41"/>
      <c r="BF103" s="41"/>
      <c r="BG103" s="41"/>
      <c r="BH103" s="42"/>
      <c r="BI103" s="41"/>
      <c r="BJ103" s="41"/>
    </row>
    <row r="104" spans="1:62" s="38" customFormat="1" x14ac:dyDescent="0.25">
      <c r="A104" s="41"/>
      <c r="B104" s="41" t="s">
        <v>342</v>
      </c>
      <c r="C104" s="41" t="s">
        <v>343</v>
      </c>
      <c r="D104" s="41"/>
      <c r="E104" s="41" t="s">
        <v>17</v>
      </c>
      <c r="F104" s="41">
        <v>2025</v>
      </c>
      <c r="G104" s="41" t="s">
        <v>1346</v>
      </c>
      <c r="H104" s="41"/>
      <c r="I104" s="43"/>
      <c r="J104" s="41"/>
      <c r="K104" s="41"/>
      <c r="L104" s="41" t="s">
        <v>73</v>
      </c>
      <c r="M104" s="41">
        <v>100960</v>
      </c>
      <c r="N104" s="41" t="s">
        <v>344</v>
      </c>
      <c r="O104" s="41" t="s">
        <v>111</v>
      </c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2"/>
      <c r="AH104" s="41"/>
      <c r="AI104" s="41"/>
      <c r="AJ104" s="41"/>
      <c r="AK104" s="41"/>
      <c r="AL104" s="41"/>
      <c r="AM104" s="41"/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  <c r="BA104" s="41"/>
      <c r="BB104" s="41"/>
      <c r="BC104" s="41"/>
      <c r="BD104" s="42"/>
      <c r="BE104" s="41"/>
      <c r="BF104" s="41"/>
      <c r="BG104" s="41"/>
      <c r="BH104" s="42"/>
      <c r="BI104" s="41"/>
      <c r="BJ104" s="41"/>
    </row>
    <row r="105" spans="1:62" s="38" customFormat="1" x14ac:dyDescent="0.25">
      <c r="A105" s="41"/>
      <c r="B105" s="41" t="s">
        <v>345</v>
      </c>
      <c r="C105" s="41" t="s">
        <v>346</v>
      </c>
      <c r="D105" s="41"/>
      <c r="E105" s="41" t="s">
        <v>17</v>
      </c>
      <c r="F105" s="41">
        <v>2025</v>
      </c>
      <c r="G105" s="41" t="s">
        <v>1346</v>
      </c>
      <c r="H105" s="41"/>
      <c r="I105" s="43"/>
      <c r="J105" s="41"/>
      <c r="K105" s="41"/>
      <c r="L105" s="41" t="s">
        <v>73</v>
      </c>
      <c r="M105" s="41">
        <v>50957</v>
      </c>
      <c r="N105" s="41" t="s">
        <v>347</v>
      </c>
      <c r="O105" s="41" t="s">
        <v>111</v>
      </c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2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  <c r="AS105" s="41"/>
      <c r="AT105" s="41"/>
      <c r="AU105" s="41"/>
      <c r="AV105" s="41"/>
      <c r="AW105" s="41"/>
      <c r="AX105" s="41"/>
      <c r="AY105" s="41"/>
      <c r="AZ105" s="41"/>
      <c r="BA105" s="41"/>
      <c r="BB105" s="41"/>
      <c r="BC105" s="41"/>
      <c r="BD105" s="42"/>
      <c r="BE105" s="41"/>
      <c r="BF105" s="41"/>
      <c r="BG105" s="41"/>
      <c r="BH105" s="42"/>
      <c r="BI105" s="41"/>
      <c r="BJ105" s="41"/>
    </row>
    <row r="106" spans="1:62" s="38" customFormat="1" x14ac:dyDescent="0.25">
      <c r="A106" s="41"/>
      <c r="B106" s="41" t="s">
        <v>348</v>
      </c>
      <c r="C106" s="41" t="s">
        <v>349</v>
      </c>
      <c r="D106" s="41"/>
      <c r="E106" s="41" t="s">
        <v>17</v>
      </c>
      <c r="F106" s="41">
        <v>2025</v>
      </c>
      <c r="G106" s="41" t="s">
        <v>1346</v>
      </c>
      <c r="H106" s="41"/>
      <c r="I106" s="43"/>
      <c r="J106" s="41"/>
      <c r="K106" s="41"/>
      <c r="L106" s="41" t="s">
        <v>77</v>
      </c>
      <c r="M106" s="41">
        <v>50906</v>
      </c>
      <c r="N106" s="41" t="s">
        <v>350</v>
      </c>
      <c r="O106" s="41" t="s">
        <v>111</v>
      </c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2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  <c r="AV106" s="41"/>
      <c r="AW106" s="41"/>
      <c r="AX106" s="41"/>
      <c r="AY106" s="41"/>
      <c r="AZ106" s="41"/>
      <c r="BA106" s="41"/>
      <c r="BB106" s="41"/>
      <c r="BC106" s="41"/>
      <c r="BD106" s="42"/>
      <c r="BE106" s="41"/>
      <c r="BF106" s="41"/>
      <c r="BG106" s="41"/>
      <c r="BH106" s="42"/>
      <c r="BI106" s="41"/>
      <c r="BJ106" s="41"/>
    </row>
    <row r="107" spans="1:62" s="38" customFormat="1" x14ac:dyDescent="0.25">
      <c r="A107" s="41"/>
      <c r="B107" s="41" t="s">
        <v>222</v>
      </c>
      <c r="C107" s="41" t="s">
        <v>351</v>
      </c>
      <c r="D107" s="41"/>
      <c r="E107" s="41" t="s">
        <v>17</v>
      </c>
      <c r="F107" s="41">
        <v>2025</v>
      </c>
      <c r="G107" s="41" t="s">
        <v>1346</v>
      </c>
      <c r="H107" s="41"/>
      <c r="I107" s="43"/>
      <c r="J107" s="41"/>
      <c r="K107" s="41"/>
      <c r="L107" s="41" t="s">
        <v>73</v>
      </c>
      <c r="M107" s="41">
        <v>100939</v>
      </c>
      <c r="N107" s="41" t="s">
        <v>352</v>
      </c>
      <c r="O107" s="41" t="s">
        <v>99</v>
      </c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2"/>
      <c r="AH107" s="41"/>
      <c r="AI107" s="41"/>
      <c r="AJ107" s="41"/>
      <c r="AK107" s="41"/>
      <c r="AL107" s="41"/>
      <c r="AM107" s="41"/>
      <c r="AN107" s="41"/>
      <c r="AO107" s="41"/>
      <c r="AP107" s="41"/>
      <c r="AQ107" s="41"/>
      <c r="AR107" s="41"/>
      <c r="AS107" s="41"/>
      <c r="AT107" s="41"/>
      <c r="AU107" s="41"/>
      <c r="AV107" s="41"/>
      <c r="AW107" s="41"/>
      <c r="AX107" s="41"/>
      <c r="AY107" s="41"/>
      <c r="AZ107" s="41"/>
      <c r="BA107" s="41"/>
      <c r="BB107" s="41"/>
      <c r="BC107" s="41"/>
      <c r="BD107" s="42"/>
      <c r="BE107" s="41"/>
      <c r="BF107" s="41"/>
      <c r="BG107" s="41"/>
      <c r="BH107" s="42"/>
      <c r="BI107" s="41"/>
      <c r="BJ107" s="41"/>
    </row>
    <row r="108" spans="1:62" s="38" customFormat="1" x14ac:dyDescent="0.25">
      <c r="A108" s="41"/>
      <c r="B108" s="41" t="s">
        <v>90</v>
      </c>
      <c r="C108" s="41" t="s">
        <v>353</v>
      </c>
      <c r="D108" s="41"/>
      <c r="E108" s="41" t="s">
        <v>17</v>
      </c>
      <c r="F108" s="41">
        <v>2025</v>
      </c>
      <c r="G108" s="41" t="s">
        <v>1346</v>
      </c>
      <c r="H108" s="41"/>
      <c r="I108" s="43"/>
      <c r="J108" s="41"/>
      <c r="K108" s="41"/>
      <c r="L108" s="41" t="s">
        <v>73</v>
      </c>
      <c r="M108" s="41">
        <v>150000</v>
      </c>
      <c r="N108" s="41" t="s">
        <v>354</v>
      </c>
      <c r="O108" s="41" t="s">
        <v>67</v>
      </c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2"/>
      <c r="AH108" s="41"/>
      <c r="AI108" s="41"/>
      <c r="AJ108" s="41"/>
      <c r="AK108" s="41"/>
      <c r="AL108" s="41"/>
      <c r="AM108" s="41"/>
      <c r="AN108" s="41"/>
      <c r="AO108" s="41"/>
      <c r="AP108" s="41"/>
      <c r="AQ108" s="41"/>
      <c r="AR108" s="41"/>
      <c r="AS108" s="41"/>
      <c r="AT108" s="41"/>
      <c r="AU108" s="41"/>
      <c r="AV108" s="41"/>
      <c r="AW108" s="41"/>
      <c r="AX108" s="41"/>
      <c r="AY108" s="41"/>
      <c r="AZ108" s="41"/>
      <c r="BA108" s="41"/>
      <c r="BB108" s="41"/>
      <c r="BC108" s="41"/>
      <c r="BD108" s="42"/>
      <c r="BE108" s="41"/>
      <c r="BF108" s="41"/>
      <c r="BG108" s="41"/>
      <c r="BH108" s="42"/>
      <c r="BI108" s="41"/>
      <c r="BJ108" s="41"/>
    </row>
    <row r="109" spans="1:62" s="38" customFormat="1" x14ac:dyDescent="0.25">
      <c r="A109" s="41"/>
      <c r="B109" s="41" t="s">
        <v>355</v>
      </c>
      <c r="C109" s="41" t="s">
        <v>356</v>
      </c>
      <c r="D109" s="41"/>
      <c r="E109" s="41" t="s">
        <v>17</v>
      </c>
      <c r="F109" s="41">
        <v>2025</v>
      </c>
      <c r="G109" s="41" t="s">
        <v>1346</v>
      </c>
      <c r="H109" s="41"/>
      <c r="I109" s="43"/>
      <c r="J109" s="41"/>
      <c r="K109" s="41"/>
      <c r="L109" s="41" t="s">
        <v>77</v>
      </c>
      <c r="M109" s="41">
        <v>100913</v>
      </c>
      <c r="N109" s="41" t="s">
        <v>357</v>
      </c>
      <c r="O109" s="41" t="s">
        <v>111</v>
      </c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2"/>
      <c r="AH109" s="41"/>
      <c r="AI109" s="41"/>
      <c r="AJ109" s="41"/>
      <c r="AK109" s="41"/>
      <c r="AL109" s="41"/>
      <c r="AM109" s="41"/>
      <c r="AN109" s="41"/>
      <c r="AO109" s="41"/>
      <c r="AP109" s="41"/>
      <c r="AQ109" s="41"/>
      <c r="AR109" s="41"/>
      <c r="AS109" s="41"/>
      <c r="AT109" s="41"/>
      <c r="AU109" s="41"/>
      <c r="AV109" s="41"/>
      <c r="AW109" s="41"/>
      <c r="AX109" s="41"/>
      <c r="AY109" s="41"/>
      <c r="AZ109" s="41"/>
      <c r="BA109" s="41"/>
      <c r="BB109" s="41"/>
      <c r="BC109" s="41"/>
      <c r="BD109" s="42"/>
      <c r="BE109" s="41"/>
      <c r="BF109" s="41"/>
      <c r="BG109" s="41"/>
      <c r="BH109" s="42"/>
      <c r="BI109" s="41"/>
      <c r="BJ109" s="41"/>
    </row>
    <row r="110" spans="1:62" s="38" customFormat="1" x14ac:dyDescent="0.25">
      <c r="A110" s="41"/>
      <c r="B110" s="41" t="s">
        <v>358</v>
      </c>
      <c r="C110" s="41" t="s">
        <v>359</v>
      </c>
      <c r="D110" s="41"/>
      <c r="E110" s="41" t="s">
        <v>17</v>
      </c>
      <c r="F110" s="41">
        <v>2025</v>
      </c>
      <c r="G110" s="41" t="s">
        <v>1346</v>
      </c>
      <c r="H110" s="41"/>
      <c r="I110" s="43"/>
      <c r="J110" s="41"/>
      <c r="K110" s="41"/>
      <c r="L110" s="41" t="s">
        <v>73</v>
      </c>
      <c r="M110" s="41">
        <v>100901</v>
      </c>
      <c r="N110" s="41" t="s">
        <v>360</v>
      </c>
      <c r="O110" s="41" t="s">
        <v>235</v>
      </c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2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  <c r="BA110" s="41"/>
      <c r="BB110" s="41"/>
      <c r="BC110" s="41"/>
      <c r="BD110" s="42"/>
      <c r="BE110" s="41"/>
      <c r="BF110" s="41"/>
      <c r="BG110" s="41"/>
      <c r="BH110" s="42"/>
      <c r="BI110" s="41"/>
      <c r="BJ110" s="41"/>
    </row>
    <row r="111" spans="1:62" s="38" customFormat="1" x14ac:dyDescent="0.25">
      <c r="A111" s="41"/>
      <c r="B111" s="41" t="s">
        <v>361</v>
      </c>
      <c r="C111" s="41" t="s">
        <v>362</v>
      </c>
      <c r="D111" s="41"/>
      <c r="E111" s="41" t="s">
        <v>17</v>
      </c>
      <c r="F111" s="41">
        <v>2025</v>
      </c>
      <c r="G111" s="41" t="s">
        <v>1346</v>
      </c>
      <c r="H111" s="41"/>
      <c r="I111" s="43"/>
      <c r="J111" s="41"/>
      <c r="K111" s="41"/>
      <c r="L111" s="41" t="s">
        <v>77</v>
      </c>
      <c r="M111" s="41">
        <v>50914</v>
      </c>
      <c r="N111" s="41" t="s">
        <v>363</v>
      </c>
      <c r="O111" s="41" t="s">
        <v>67</v>
      </c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2"/>
      <c r="AH111" s="41"/>
      <c r="AI111" s="41"/>
      <c r="AJ111" s="41"/>
      <c r="AK111" s="41"/>
      <c r="AL111" s="41"/>
      <c r="AM111" s="41"/>
      <c r="AN111" s="41"/>
      <c r="AO111" s="41"/>
      <c r="AP111" s="41"/>
      <c r="AQ111" s="41"/>
      <c r="AR111" s="41"/>
      <c r="AS111" s="41"/>
      <c r="AT111" s="41"/>
      <c r="AU111" s="41"/>
      <c r="AV111" s="41"/>
      <c r="AW111" s="41"/>
      <c r="AX111" s="41"/>
      <c r="AY111" s="41"/>
      <c r="AZ111" s="41"/>
      <c r="BA111" s="41"/>
      <c r="BB111" s="41"/>
      <c r="BC111" s="41"/>
      <c r="BD111" s="42"/>
      <c r="BE111" s="41"/>
      <c r="BF111" s="41"/>
      <c r="BG111" s="41"/>
      <c r="BH111" s="42"/>
      <c r="BI111" s="41"/>
      <c r="BJ111" s="41"/>
    </row>
    <row r="112" spans="1:62" s="38" customFormat="1" x14ac:dyDescent="0.25">
      <c r="A112" s="41"/>
      <c r="B112" s="41" t="s">
        <v>364</v>
      </c>
      <c r="C112" s="41" t="s">
        <v>365</v>
      </c>
      <c r="D112" s="41"/>
      <c r="E112" s="41" t="s">
        <v>17</v>
      </c>
      <c r="F112" s="41">
        <v>2025</v>
      </c>
      <c r="G112" s="41" t="s">
        <v>1346</v>
      </c>
      <c r="H112" s="41"/>
      <c r="I112" s="43"/>
      <c r="J112" s="41"/>
      <c r="K112" s="41"/>
      <c r="L112" s="41" t="s">
        <v>73</v>
      </c>
      <c r="M112" s="41">
        <v>100989</v>
      </c>
      <c r="N112" s="41" t="s">
        <v>366</v>
      </c>
      <c r="O112" s="41" t="s">
        <v>272</v>
      </c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2"/>
      <c r="AH112" s="41"/>
      <c r="AI112" s="41"/>
      <c r="AJ112" s="41"/>
      <c r="AK112" s="41"/>
      <c r="AL112" s="41"/>
      <c r="AM112" s="41"/>
      <c r="AN112" s="41"/>
      <c r="AO112" s="41"/>
      <c r="AP112" s="41"/>
      <c r="AQ112" s="41"/>
      <c r="AR112" s="41"/>
      <c r="AS112" s="41"/>
      <c r="AT112" s="41"/>
      <c r="AU112" s="41"/>
      <c r="AV112" s="41"/>
      <c r="AW112" s="41"/>
      <c r="AX112" s="41"/>
      <c r="AY112" s="41"/>
      <c r="AZ112" s="41"/>
      <c r="BA112" s="41"/>
      <c r="BB112" s="41"/>
      <c r="BC112" s="41"/>
      <c r="BD112" s="42"/>
      <c r="BE112" s="41"/>
      <c r="BF112" s="41"/>
      <c r="BG112" s="41"/>
      <c r="BH112" s="42"/>
      <c r="BI112" s="41"/>
      <c r="BJ112" s="41"/>
    </row>
    <row r="113" spans="1:62" s="38" customFormat="1" x14ac:dyDescent="0.25">
      <c r="A113" s="41"/>
      <c r="B113" s="41" t="s">
        <v>367</v>
      </c>
      <c r="C113" s="41" t="s">
        <v>368</v>
      </c>
      <c r="D113" s="41"/>
      <c r="E113" s="41" t="s">
        <v>17</v>
      </c>
      <c r="F113" s="41">
        <v>2025</v>
      </c>
      <c r="G113" s="41" t="s">
        <v>1346</v>
      </c>
      <c r="H113" s="41"/>
      <c r="I113" s="43"/>
      <c r="J113" s="41"/>
      <c r="K113" s="41"/>
      <c r="L113" s="41" t="s">
        <v>73</v>
      </c>
      <c r="M113" s="41">
        <v>100978</v>
      </c>
      <c r="N113" s="41" t="s">
        <v>369</v>
      </c>
      <c r="O113" s="41" t="s">
        <v>111</v>
      </c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2"/>
      <c r="AH113" s="41"/>
      <c r="AI113" s="41"/>
      <c r="AJ113" s="41"/>
      <c r="AK113" s="41"/>
      <c r="AL113" s="41"/>
      <c r="AM113" s="41"/>
      <c r="AN113" s="41"/>
      <c r="AO113" s="41"/>
      <c r="AP113" s="41"/>
      <c r="AQ113" s="41"/>
      <c r="AR113" s="41"/>
      <c r="AS113" s="41"/>
      <c r="AT113" s="41"/>
      <c r="AU113" s="41"/>
      <c r="AV113" s="41"/>
      <c r="AW113" s="41"/>
      <c r="AX113" s="41"/>
      <c r="AY113" s="41"/>
      <c r="AZ113" s="41"/>
      <c r="BA113" s="41"/>
      <c r="BB113" s="41"/>
      <c r="BC113" s="41"/>
      <c r="BD113" s="42"/>
      <c r="BE113" s="41"/>
      <c r="BF113" s="41"/>
      <c r="BG113" s="41"/>
      <c r="BH113" s="42"/>
      <c r="BI113" s="41"/>
      <c r="BJ113" s="41"/>
    </row>
    <row r="114" spans="1:62" s="38" customFormat="1" x14ac:dyDescent="0.25">
      <c r="A114" s="41"/>
      <c r="B114" s="41" t="s">
        <v>370</v>
      </c>
      <c r="C114" s="41" t="s">
        <v>371</v>
      </c>
      <c r="D114" s="41"/>
      <c r="E114" s="41" t="s">
        <v>17</v>
      </c>
      <c r="F114" s="41">
        <v>2025</v>
      </c>
      <c r="G114" s="41" t="s">
        <v>1346</v>
      </c>
      <c r="H114" s="41"/>
      <c r="I114" s="43"/>
      <c r="J114" s="41"/>
      <c r="K114" s="41"/>
      <c r="L114" s="41" t="s">
        <v>77</v>
      </c>
      <c r="M114" s="41">
        <v>100919</v>
      </c>
      <c r="N114" s="41" t="s">
        <v>372</v>
      </c>
      <c r="O114" s="41" t="s">
        <v>111</v>
      </c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2"/>
      <c r="AH114" s="41"/>
      <c r="AI114" s="41"/>
      <c r="AJ114" s="41"/>
      <c r="AK114" s="41"/>
      <c r="AL114" s="41"/>
      <c r="AM114" s="41"/>
      <c r="AN114" s="41"/>
      <c r="AO114" s="41"/>
      <c r="AP114" s="41"/>
      <c r="AQ114" s="41"/>
      <c r="AR114" s="41"/>
      <c r="AS114" s="41"/>
      <c r="AT114" s="41"/>
      <c r="AU114" s="41"/>
      <c r="AV114" s="41"/>
      <c r="AW114" s="41"/>
      <c r="AX114" s="41"/>
      <c r="AY114" s="41"/>
      <c r="AZ114" s="41"/>
      <c r="BA114" s="41"/>
      <c r="BB114" s="41"/>
      <c r="BC114" s="41"/>
      <c r="BD114" s="42"/>
      <c r="BE114" s="41"/>
      <c r="BF114" s="41"/>
      <c r="BG114" s="41"/>
      <c r="BH114" s="42"/>
      <c r="BI114" s="41"/>
      <c r="BJ114" s="41"/>
    </row>
    <row r="115" spans="1:62" s="38" customFormat="1" x14ac:dyDescent="0.25">
      <c r="A115" s="41"/>
      <c r="B115" s="41" t="s">
        <v>373</v>
      </c>
      <c r="C115" s="41" t="s">
        <v>374</v>
      </c>
      <c r="D115" s="41"/>
      <c r="E115" s="41" t="s">
        <v>17</v>
      </c>
      <c r="F115" s="41">
        <v>2025</v>
      </c>
      <c r="G115" s="41" t="s">
        <v>1346</v>
      </c>
      <c r="H115" s="41"/>
      <c r="I115" s="43"/>
      <c r="J115" s="41"/>
      <c r="K115" s="41"/>
      <c r="L115" s="41" t="s">
        <v>73</v>
      </c>
      <c r="M115" s="41">
        <v>100985</v>
      </c>
      <c r="N115" s="41" t="s">
        <v>375</v>
      </c>
      <c r="O115" s="41" t="s">
        <v>146</v>
      </c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2"/>
      <c r="AH115" s="41"/>
      <c r="AI115" s="41"/>
      <c r="AJ115" s="41"/>
      <c r="AK115" s="41"/>
      <c r="AL115" s="41"/>
      <c r="AM115" s="41"/>
      <c r="AN115" s="41"/>
      <c r="AO115" s="41"/>
      <c r="AP115" s="41"/>
      <c r="AQ115" s="41"/>
      <c r="AR115" s="41"/>
      <c r="AS115" s="41"/>
      <c r="AT115" s="41"/>
      <c r="AU115" s="41"/>
      <c r="AV115" s="41"/>
      <c r="AW115" s="41"/>
      <c r="AX115" s="41"/>
      <c r="AY115" s="41"/>
      <c r="AZ115" s="41"/>
      <c r="BA115" s="41"/>
      <c r="BB115" s="41"/>
      <c r="BC115" s="41"/>
      <c r="BD115" s="42"/>
      <c r="BE115" s="41"/>
      <c r="BF115" s="41"/>
      <c r="BG115" s="41"/>
      <c r="BH115" s="42"/>
      <c r="BI115" s="41"/>
      <c r="BJ115" s="41"/>
    </row>
    <row r="116" spans="1:62" s="38" customFormat="1" x14ac:dyDescent="0.25">
      <c r="A116" s="41"/>
      <c r="B116" s="41" t="s">
        <v>376</v>
      </c>
      <c r="C116" s="41" t="s">
        <v>377</v>
      </c>
      <c r="D116" s="41"/>
      <c r="E116" s="41" t="s">
        <v>17</v>
      </c>
      <c r="F116" s="41">
        <v>2025</v>
      </c>
      <c r="G116" s="41" t="s">
        <v>1346</v>
      </c>
      <c r="H116" s="41"/>
      <c r="I116" s="43"/>
      <c r="J116" s="41"/>
      <c r="K116" s="41"/>
      <c r="L116" s="41" t="s">
        <v>299</v>
      </c>
      <c r="M116" s="41">
        <v>50943</v>
      </c>
      <c r="N116" s="41" t="s">
        <v>378</v>
      </c>
      <c r="O116" s="41" t="s">
        <v>379</v>
      </c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2"/>
      <c r="AH116" s="41"/>
      <c r="AI116" s="41"/>
      <c r="AJ116" s="41"/>
      <c r="AK116" s="41"/>
      <c r="AL116" s="41"/>
      <c r="AM116" s="41"/>
      <c r="AN116" s="41"/>
      <c r="AO116" s="41"/>
      <c r="AP116" s="41"/>
      <c r="AQ116" s="41"/>
      <c r="AR116" s="41"/>
      <c r="AS116" s="41"/>
      <c r="AT116" s="41"/>
      <c r="AU116" s="41"/>
      <c r="AV116" s="41"/>
      <c r="AW116" s="41"/>
      <c r="AX116" s="41"/>
      <c r="AY116" s="41"/>
      <c r="AZ116" s="41"/>
      <c r="BA116" s="41"/>
      <c r="BB116" s="41"/>
      <c r="BC116" s="41"/>
      <c r="BD116" s="42"/>
      <c r="BE116" s="41"/>
      <c r="BF116" s="41"/>
      <c r="BG116" s="41"/>
      <c r="BH116" s="42"/>
      <c r="BI116" s="41"/>
      <c r="BJ116" s="41"/>
    </row>
    <row r="117" spans="1:62" s="38" customFormat="1" x14ac:dyDescent="0.25">
      <c r="A117" s="41"/>
      <c r="B117" s="41" t="s">
        <v>380</v>
      </c>
      <c r="C117" s="41" t="s">
        <v>381</v>
      </c>
      <c r="D117" s="41"/>
      <c r="E117" s="41" t="s">
        <v>17</v>
      </c>
      <c r="F117" s="41">
        <v>2025</v>
      </c>
      <c r="G117" s="41" t="s">
        <v>1346</v>
      </c>
      <c r="H117" s="41"/>
      <c r="I117" s="43"/>
      <c r="J117" s="41"/>
      <c r="K117" s="41"/>
      <c r="L117" s="41" t="s">
        <v>77</v>
      </c>
      <c r="M117" s="41">
        <v>100942</v>
      </c>
      <c r="N117" s="41" t="s">
        <v>382</v>
      </c>
      <c r="O117" s="41" t="s">
        <v>67</v>
      </c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2"/>
      <c r="AH117" s="41"/>
      <c r="AI117" s="41"/>
      <c r="AJ117" s="41"/>
      <c r="AK117" s="41"/>
      <c r="AL117" s="41"/>
      <c r="AM117" s="41"/>
      <c r="AN117" s="41"/>
      <c r="AO117" s="41"/>
      <c r="AP117" s="41"/>
      <c r="AQ117" s="41"/>
      <c r="AR117" s="41"/>
      <c r="AS117" s="41"/>
      <c r="AT117" s="41"/>
      <c r="AU117" s="41"/>
      <c r="AV117" s="41"/>
      <c r="AW117" s="41"/>
      <c r="AX117" s="41"/>
      <c r="AY117" s="41"/>
      <c r="AZ117" s="41"/>
      <c r="BA117" s="41"/>
      <c r="BB117" s="41"/>
      <c r="BC117" s="41"/>
      <c r="BD117" s="42"/>
      <c r="BE117" s="41"/>
      <c r="BF117" s="41"/>
      <c r="BG117" s="41"/>
      <c r="BH117" s="42"/>
      <c r="BI117" s="41"/>
      <c r="BJ117" s="41"/>
    </row>
    <row r="118" spans="1:62" s="38" customFormat="1" x14ac:dyDescent="0.25">
      <c r="A118" s="41"/>
      <c r="B118" s="41" t="s">
        <v>383</v>
      </c>
      <c r="C118" s="41" t="s">
        <v>384</v>
      </c>
      <c r="D118" s="41"/>
      <c r="E118" s="41" t="s">
        <v>17</v>
      </c>
      <c r="F118" s="41">
        <v>2025</v>
      </c>
      <c r="G118" s="41" t="s">
        <v>1346</v>
      </c>
      <c r="H118" s="41"/>
      <c r="I118" s="43"/>
      <c r="J118" s="41"/>
      <c r="K118" s="41"/>
      <c r="L118" s="41" t="s">
        <v>73</v>
      </c>
      <c r="M118" s="41">
        <v>100000</v>
      </c>
      <c r="N118" s="41" t="s">
        <v>385</v>
      </c>
      <c r="O118" s="41" t="s">
        <v>386</v>
      </c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2"/>
      <c r="AH118" s="41"/>
      <c r="AI118" s="41"/>
      <c r="AJ118" s="41"/>
      <c r="AK118" s="41"/>
      <c r="AL118" s="41"/>
      <c r="AM118" s="41"/>
      <c r="AN118" s="41"/>
      <c r="AO118" s="41"/>
      <c r="AP118" s="41"/>
      <c r="AQ118" s="41"/>
      <c r="AR118" s="41"/>
      <c r="AS118" s="41"/>
      <c r="AT118" s="41"/>
      <c r="AU118" s="41"/>
      <c r="AV118" s="41"/>
      <c r="AW118" s="41"/>
      <c r="AX118" s="41"/>
      <c r="AY118" s="41"/>
      <c r="AZ118" s="41"/>
      <c r="BA118" s="41"/>
      <c r="BB118" s="41"/>
      <c r="BC118" s="41"/>
      <c r="BD118" s="42"/>
      <c r="BE118" s="41"/>
      <c r="BF118" s="41"/>
      <c r="BG118" s="41"/>
      <c r="BH118" s="42"/>
      <c r="BI118" s="41"/>
      <c r="BJ118" s="41"/>
    </row>
    <row r="119" spans="1:62" s="38" customFormat="1" x14ac:dyDescent="0.25">
      <c r="A119" s="41"/>
      <c r="B119" s="41" t="s">
        <v>387</v>
      </c>
      <c r="C119" s="41" t="s">
        <v>388</v>
      </c>
      <c r="D119" s="41"/>
      <c r="E119" s="41" t="s">
        <v>17</v>
      </c>
      <c r="F119" s="41">
        <v>2025</v>
      </c>
      <c r="G119" s="41" t="s">
        <v>1346</v>
      </c>
      <c r="H119" s="41"/>
      <c r="I119" s="43"/>
      <c r="J119" s="41"/>
      <c r="K119" s="41"/>
      <c r="L119" s="41" t="s">
        <v>268</v>
      </c>
      <c r="M119" s="41">
        <v>1000940</v>
      </c>
      <c r="N119" s="41" t="s">
        <v>389</v>
      </c>
      <c r="O119" s="41" t="s">
        <v>111</v>
      </c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2"/>
      <c r="AH119" s="41"/>
      <c r="AI119" s="41"/>
      <c r="AJ119" s="41"/>
      <c r="AK119" s="41"/>
      <c r="AL119" s="41"/>
      <c r="AM119" s="41"/>
      <c r="AN119" s="41"/>
      <c r="AO119" s="41"/>
      <c r="AP119" s="41"/>
      <c r="AQ119" s="41"/>
      <c r="AR119" s="41"/>
      <c r="AS119" s="41"/>
      <c r="AT119" s="41"/>
      <c r="AU119" s="41"/>
      <c r="AV119" s="41"/>
      <c r="AW119" s="41"/>
      <c r="AX119" s="41"/>
      <c r="AY119" s="41"/>
      <c r="AZ119" s="41"/>
      <c r="BA119" s="41"/>
      <c r="BB119" s="41"/>
      <c r="BC119" s="41"/>
      <c r="BD119" s="42"/>
      <c r="BE119" s="41"/>
      <c r="BF119" s="41"/>
      <c r="BG119" s="41"/>
      <c r="BH119" s="42"/>
      <c r="BI119" s="41"/>
      <c r="BJ119" s="41"/>
    </row>
    <row r="120" spans="1:62" s="38" customFormat="1" x14ac:dyDescent="0.25">
      <c r="A120" s="41"/>
      <c r="B120" s="41" t="s">
        <v>390</v>
      </c>
      <c r="C120" s="41" t="s">
        <v>391</v>
      </c>
      <c r="D120" s="41"/>
      <c r="E120" s="41" t="s">
        <v>17</v>
      </c>
      <c r="F120" s="41">
        <v>2025</v>
      </c>
      <c r="G120" s="41" t="s">
        <v>1346</v>
      </c>
      <c r="H120" s="41"/>
      <c r="I120" s="43"/>
      <c r="J120" s="41"/>
      <c r="K120" s="41"/>
      <c r="L120" s="41" t="s">
        <v>73</v>
      </c>
      <c r="M120" s="41">
        <v>100000</v>
      </c>
      <c r="N120" s="41" t="s">
        <v>392</v>
      </c>
      <c r="O120" s="41" t="s">
        <v>67</v>
      </c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2"/>
      <c r="AH120" s="41"/>
      <c r="AI120" s="41"/>
      <c r="AJ120" s="41"/>
      <c r="AK120" s="41"/>
      <c r="AL120" s="41"/>
      <c r="AM120" s="41"/>
      <c r="AN120" s="41"/>
      <c r="AO120" s="41"/>
      <c r="AP120" s="41"/>
      <c r="AQ120" s="41"/>
      <c r="AR120" s="41"/>
      <c r="AS120" s="41"/>
      <c r="AT120" s="41"/>
      <c r="AU120" s="41"/>
      <c r="AV120" s="41"/>
      <c r="AW120" s="41"/>
      <c r="AX120" s="41"/>
      <c r="AY120" s="41"/>
      <c r="AZ120" s="41"/>
      <c r="BA120" s="41"/>
      <c r="BB120" s="41"/>
      <c r="BC120" s="41"/>
      <c r="BD120" s="42"/>
      <c r="BE120" s="41"/>
      <c r="BF120" s="41"/>
      <c r="BG120" s="41"/>
      <c r="BH120" s="42"/>
      <c r="BI120" s="41"/>
      <c r="BJ120" s="41"/>
    </row>
    <row r="121" spans="1:62" s="38" customFormat="1" x14ac:dyDescent="0.25">
      <c r="A121" s="41"/>
      <c r="B121" s="41" t="s">
        <v>393</v>
      </c>
      <c r="C121" s="41" t="s">
        <v>394</v>
      </c>
      <c r="D121" s="41"/>
      <c r="E121" s="41" t="s">
        <v>17</v>
      </c>
      <c r="F121" s="41">
        <v>2025</v>
      </c>
      <c r="G121" s="41" t="s">
        <v>1346</v>
      </c>
      <c r="H121" s="41"/>
      <c r="I121" s="43"/>
      <c r="J121" s="41"/>
      <c r="K121" s="41"/>
      <c r="L121" s="41" t="s">
        <v>268</v>
      </c>
      <c r="M121" s="41">
        <v>100924</v>
      </c>
      <c r="N121" s="41" t="s">
        <v>395</v>
      </c>
      <c r="O121" s="41" t="s">
        <v>111</v>
      </c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2"/>
      <c r="AH121" s="41"/>
      <c r="AI121" s="41"/>
      <c r="AJ121" s="41"/>
      <c r="AK121" s="41"/>
      <c r="AL121" s="41"/>
      <c r="AM121" s="41"/>
      <c r="AN121" s="41"/>
      <c r="AO121" s="41"/>
      <c r="AP121" s="41"/>
      <c r="AQ121" s="41"/>
      <c r="AR121" s="41"/>
      <c r="AS121" s="41"/>
      <c r="AT121" s="41"/>
      <c r="AU121" s="41"/>
      <c r="AV121" s="41"/>
      <c r="AW121" s="41"/>
      <c r="AX121" s="41"/>
      <c r="AY121" s="41"/>
      <c r="AZ121" s="41"/>
      <c r="BA121" s="41"/>
      <c r="BB121" s="41"/>
      <c r="BC121" s="41"/>
      <c r="BD121" s="42"/>
      <c r="BE121" s="41"/>
      <c r="BF121" s="41"/>
      <c r="BG121" s="41"/>
      <c r="BH121" s="42"/>
      <c r="BI121" s="41"/>
      <c r="BJ121" s="41"/>
    </row>
    <row r="122" spans="1:62" s="38" customFormat="1" x14ac:dyDescent="0.25">
      <c r="A122" s="41"/>
      <c r="B122" s="41" t="s">
        <v>396</v>
      </c>
      <c r="C122" s="41" t="s">
        <v>397</v>
      </c>
      <c r="D122" s="41"/>
      <c r="E122" s="41" t="s">
        <v>17</v>
      </c>
      <c r="F122" s="41">
        <v>2025</v>
      </c>
      <c r="G122" s="41" t="s">
        <v>1346</v>
      </c>
      <c r="H122" s="41"/>
      <c r="I122" s="43"/>
      <c r="J122" s="41"/>
      <c r="K122" s="41"/>
      <c r="L122" s="41" t="s">
        <v>77</v>
      </c>
      <c r="M122" s="41">
        <v>50913</v>
      </c>
      <c r="N122" s="41" t="s">
        <v>398</v>
      </c>
      <c r="O122" s="41" t="s">
        <v>235</v>
      </c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2"/>
      <c r="AH122" s="41"/>
      <c r="AI122" s="41"/>
      <c r="AJ122" s="41"/>
      <c r="AK122" s="41"/>
      <c r="AL122" s="41"/>
      <c r="AM122" s="41"/>
      <c r="AN122" s="41"/>
      <c r="AO122" s="41"/>
      <c r="AP122" s="41"/>
      <c r="AQ122" s="41"/>
      <c r="AR122" s="41"/>
      <c r="AS122" s="41"/>
      <c r="AT122" s="41"/>
      <c r="AU122" s="41"/>
      <c r="AV122" s="41"/>
      <c r="AW122" s="41"/>
      <c r="AX122" s="41"/>
      <c r="AY122" s="41"/>
      <c r="AZ122" s="41"/>
      <c r="BA122" s="41"/>
      <c r="BB122" s="41"/>
      <c r="BC122" s="41"/>
      <c r="BD122" s="42"/>
      <c r="BE122" s="41"/>
      <c r="BF122" s="41"/>
      <c r="BG122" s="41"/>
      <c r="BH122" s="42"/>
      <c r="BI122" s="41"/>
      <c r="BJ122" s="41"/>
    </row>
    <row r="123" spans="1:62" s="38" customFormat="1" x14ac:dyDescent="0.25">
      <c r="A123" s="41"/>
      <c r="B123" s="41" t="s">
        <v>399</v>
      </c>
      <c r="C123" s="41" t="s">
        <v>400</v>
      </c>
      <c r="D123" s="41"/>
      <c r="E123" s="41" t="s">
        <v>17</v>
      </c>
      <c r="F123" s="41">
        <v>2025</v>
      </c>
      <c r="G123" s="41" t="s">
        <v>1346</v>
      </c>
      <c r="H123" s="41"/>
      <c r="I123" s="43"/>
      <c r="J123" s="41"/>
      <c r="K123" s="41"/>
      <c r="L123" s="41" t="s">
        <v>77</v>
      </c>
      <c r="M123" s="41">
        <v>50000</v>
      </c>
      <c r="N123" s="41" t="s">
        <v>401</v>
      </c>
      <c r="O123" s="41" t="s">
        <v>67</v>
      </c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  <c r="AC123" s="41"/>
      <c r="AD123" s="41"/>
      <c r="AE123" s="41"/>
      <c r="AF123" s="41"/>
      <c r="AG123" s="42"/>
      <c r="AH123" s="41"/>
      <c r="AI123" s="41"/>
      <c r="AJ123" s="41"/>
      <c r="AK123" s="41"/>
      <c r="AL123" s="41"/>
      <c r="AM123" s="41"/>
      <c r="AN123" s="41"/>
      <c r="AO123" s="41"/>
      <c r="AP123" s="41"/>
      <c r="AQ123" s="41"/>
      <c r="AR123" s="41"/>
      <c r="AS123" s="41"/>
      <c r="AT123" s="41"/>
      <c r="AU123" s="41"/>
      <c r="AV123" s="41"/>
      <c r="AW123" s="41"/>
      <c r="AX123" s="41"/>
      <c r="AY123" s="41"/>
      <c r="AZ123" s="41"/>
      <c r="BA123" s="41"/>
      <c r="BB123" s="41"/>
      <c r="BC123" s="41"/>
      <c r="BD123" s="42"/>
      <c r="BE123" s="41"/>
      <c r="BF123" s="41"/>
      <c r="BG123" s="41"/>
      <c r="BH123" s="42"/>
      <c r="BI123" s="41"/>
      <c r="BJ123" s="41"/>
    </row>
    <row r="124" spans="1:62" s="38" customFormat="1" x14ac:dyDescent="0.25">
      <c r="A124" s="41"/>
      <c r="B124" s="41" t="s">
        <v>402</v>
      </c>
      <c r="C124" s="41" t="s">
        <v>403</v>
      </c>
      <c r="D124" s="41"/>
      <c r="E124" s="41" t="s">
        <v>17</v>
      </c>
      <c r="F124" s="41">
        <v>2025</v>
      </c>
      <c r="G124" s="41" t="s">
        <v>1346</v>
      </c>
      <c r="H124" s="41"/>
      <c r="I124" s="43"/>
      <c r="J124" s="41"/>
      <c r="K124" s="41"/>
      <c r="L124" s="41" t="s">
        <v>77</v>
      </c>
      <c r="M124" s="41">
        <v>100924</v>
      </c>
      <c r="N124" s="41" t="s">
        <v>404</v>
      </c>
      <c r="O124" s="41" t="s">
        <v>106</v>
      </c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2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  <c r="AR124" s="41"/>
      <c r="AS124" s="41"/>
      <c r="AT124" s="41"/>
      <c r="AU124" s="41"/>
      <c r="AV124" s="41"/>
      <c r="AW124" s="41"/>
      <c r="AX124" s="41"/>
      <c r="AY124" s="41"/>
      <c r="AZ124" s="41"/>
      <c r="BA124" s="41"/>
      <c r="BB124" s="41"/>
      <c r="BC124" s="41"/>
      <c r="BD124" s="42"/>
      <c r="BE124" s="41"/>
      <c r="BF124" s="41"/>
      <c r="BG124" s="41"/>
      <c r="BH124" s="42"/>
      <c r="BI124" s="41"/>
      <c r="BJ124" s="41"/>
    </row>
    <row r="125" spans="1:62" s="38" customFormat="1" x14ac:dyDescent="0.25">
      <c r="A125" s="41"/>
      <c r="B125" s="41" t="s">
        <v>405</v>
      </c>
      <c r="C125" s="41" t="s">
        <v>406</v>
      </c>
      <c r="D125" s="41"/>
      <c r="E125" s="41" t="s">
        <v>17</v>
      </c>
      <c r="F125" s="41">
        <v>2025</v>
      </c>
      <c r="G125" s="41" t="s">
        <v>1346</v>
      </c>
      <c r="H125" s="41"/>
      <c r="I125" s="43"/>
      <c r="J125" s="41"/>
      <c r="K125" s="41"/>
      <c r="L125" s="41" t="s">
        <v>77</v>
      </c>
      <c r="M125" s="41">
        <v>100973</v>
      </c>
      <c r="N125" s="41" t="s">
        <v>407</v>
      </c>
      <c r="O125" s="41" t="s">
        <v>67</v>
      </c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  <c r="AE125" s="41"/>
      <c r="AF125" s="41"/>
      <c r="AG125" s="42"/>
      <c r="AH125" s="41"/>
      <c r="AI125" s="41"/>
      <c r="AJ125" s="41"/>
      <c r="AK125" s="41"/>
      <c r="AL125" s="41"/>
      <c r="AM125" s="41"/>
      <c r="AN125" s="41"/>
      <c r="AO125" s="41"/>
      <c r="AP125" s="41"/>
      <c r="AQ125" s="41"/>
      <c r="AR125" s="41"/>
      <c r="AS125" s="41"/>
      <c r="AT125" s="41"/>
      <c r="AU125" s="41"/>
      <c r="AV125" s="41"/>
      <c r="AW125" s="41"/>
      <c r="AX125" s="41"/>
      <c r="AY125" s="41"/>
      <c r="AZ125" s="41"/>
      <c r="BA125" s="41"/>
      <c r="BB125" s="41"/>
      <c r="BC125" s="41"/>
      <c r="BD125" s="42"/>
      <c r="BE125" s="41"/>
      <c r="BF125" s="41"/>
      <c r="BG125" s="41"/>
      <c r="BH125" s="42"/>
      <c r="BI125" s="41"/>
      <c r="BJ125" s="41"/>
    </row>
    <row r="126" spans="1:62" s="38" customFormat="1" x14ac:dyDescent="0.25">
      <c r="A126" s="41"/>
      <c r="B126" s="41" t="s">
        <v>408</v>
      </c>
      <c r="C126" s="41" t="s">
        <v>409</v>
      </c>
      <c r="D126" s="41"/>
      <c r="E126" s="41" t="s">
        <v>17</v>
      </c>
      <c r="F126" s="41">
        <v>2025</v>
      </c>
      <c r="G126" s="41" t="s">
        <v>1346</v>
      </c>
      <c r="H126" s="41"/>
      <c r="I126" s="43"/>
      <c r="J126" s="41"/>
      <c r="K126" s="41"/>
      <c r="L126" s="41" t="s">
        <v>299</v>
      </c>
      <c r="M126" s="41">
        <v>50942</v>
      </c>
      <c r="N126" s="41" t="s">
        <v>410</v>
      </c>
      <c r="O126" s="41" t="s">
        <v>111</v>
      </c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  <c r="AE126" s="41"/>
      <c r="AF126" s="41"/>
      <c r="AG126" s="42"/>
      <c r="AH126" s="41"/>
      <c r="AI126" s="41"/>
      <c r="AJ126" s="41"/>
      <c r="AK126" s="41"/>
      <c r="AL126" s="41"/>
      <c r="AM126" s="41"/>
      <c r="AN126" s="41"/>
      <c r="AO126" s="41"/>
      <c r="AP126" s="41"/>
      <c r="AQ126" s="41"/>
      <c r="AR126" s="41"/>
      <c r="AS126" s="41"/>
      <c r="AT126" s="41"/>
      <c r="AU126" s="41"/>
      <c r="AV126" s="41"/>
      <c r="AW126" s="41"/>
      <c r="AX126" s="41"/>
      <c r="AY126" s="41"/>
      <c r="AZ126" s="41"/>
      <c r="BA126" s="41"/>
      <c r="BB126" s="41"/>
      <c r="BC126" s="41"/>
      <c r="BD126" s="42"/>
      <c r="BE126" s="41"/>
      <c r="BF126" s="41"/>
      <c r="BG126" s="41"/>
      <c r="BH126" s="42"/>
      <c r="BI126" s="41"/>
      <c r="BJ126" s="41"/>
    </row>
    <row r="127" spans="1:62" s="38" customFormat="1" x14ac:dyDescent="0.25">
      <c r="A127" s="41"/>
      <c r="B127" s="41" t="s">
        <v>414</v>
      </c>
      <c r="C127" s="41" t="s">
        <v>415</v>
      </c>
      <c r="D127" s="41"/>
      <c r="E127" s="41" t="s">
        <v>17</v>
      </c>
      <c r="F127" s="41">
        <v>2025</v>
      </c>
      <c r="G127" s="41" t="s">
        <v>1346</v>
      </c>
      <c r="H127" s="41"/>
      <c r="I127" s="43"/>
      <c r="J127" s="41"/>
      <c r="K127" s="41"/>
      <c r="L127" s="41" t="s">
        <v>77</v>
      </c>
      <c r="M127" s="41">
        <v>100923</v>
      </c>
      <c r="N127" s="41" t="s">
        <v>416</v>
      </c>
      <c r="O127" s="41" t="s">
        <v>111</v>
      </c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41"/>
      <c r="AF127" s="41"/>
      <c r="AG127" s="42"/>
      <c r="AH127" s="41"/>
      <c r="AI127" s="41"/>
      <c r="AJ127" s="41"/>
      <c r="AK127" s="41"/>
      <c r="AL127" s="41"/>
      <c r="AM127" s="41"/>
      <c r="AN127" s="41"/>
      <c r="AO127" s="41"/>
      <c r="AP127" s="41"/>
      <c r="AQ127" s="41"/>
      <c r="AR127" s="41"/>
      <c r="AS127" s="41"/>
      <c r="AT127" s="41"/>
      <c r="AU127" s="41"/>
      <c r="AV127" s="41"/>
      <c r="AW127" s="41"/>
      <c r="AX127" s="41"/>
      <c r="AY127" s="41"/>
      <c r="AZ127" s="41"/>
      <c r="BA127" s="41"/>
      <c r="BB127" s="41"/>
      <c r="BC127" s="41"/>
      <c r="BD127" s="42"/>
      <c r="BE127" s="41"/>
      <c r="BF127" s="41"/>
      <c r="BG127" s="41"/>
      <c r="BH127" s="42"/>
      <c r="BI127" s="41"/>
      <c r="BJ127" s="41"/>
    </row>
    <row r="128" spans="1:62" s="38" customFormat="1" x14ac:dyDescent="0.25">
      <c r="A128" s="41"/>
      <c r="B128" s="41" t="s">
        <v>417</v>
      </c>
      <c r="C128" s="41" t="s">
        <v>418</v>
      </c>
      <c r="D128" s="41"/>
      <c r="E128" s="41" t="s">
        <v>17</v>
      </c>
      <c r="F128" s="41">
        <v>2025</v>
      </c>
      <c r="G128" s="41" t="s">
        <v>1346</v>
      </c>
      <c r="H128" s="41"/>
      <c r="I128" s="43"/>
      <c r="J128" s="41"/>
      <c r="K128" s="41"/>
      <c r="L128" s="41" t="s">
        <v>77</v>
      </c>
      <c r="M128" s="41">
        <v>100929</v>
      </c>
      <c r="N128" s="41" t="s">
        <v>419</v>
      </c>
      <c r="O128" s="41" t="s">
        <v>272</v>
      </c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1"/>
      <c r="AC128" s="41"/>
      <c r="AD128" s="41"/>
      <c r="AE128" s="41"/>
      <c r="AF128" s="41"/>
      <c r="AG128" s="42"/>
      <c r="AH128" s="41"/>
      <c r="AI128" s="41"/>
      <c r="AJ128" s="41"/>
      <c r="AK128" s="41"/>
      <c r="AL128" s="41"/>
      <c r="AM128" s="41"/>
      <c r="AN128" s="41"/>
      <c r="AO128" s="41"/>
      <c r="AP128" s="41"/>
      <c r="AQ128" s="41"/>
      <c r="AR128" s="41"/>
      <c r="AS128" s="41"/>
      <c r="AT128" s="41"/>
      <c r="AU128" s="41"/>
      <c r="AV128" s="41"/>
      <c r="AW128" s="41"/>
      <c r="AX128" s="41"/>
      <c r="AY128" s="41"/>
      <c r="AZ128" s="41"/>
      <c r="BA128" s="41"/>
      <c r="BB128" s="41"/>
      <c r="BC128" s="41"/>
      <c r="BD128" s="42"/>
      <c r="BE128" s="41"/>
      <c r="BF128" s="41"/>
      <c r="BG128" s="41"/>
      <c r="BH128" s="42"/>
      <c r="BI128" s="41"/>
      <c r="BJ128" s="41"/>
    </row>
    <row r="129" spans="1:62" s="38" customFormat="1" x14ac:dyDescent="0.25">
      <c r="A129" s="41"/>
      <c r="B129" s="41" t="s">
        <v>420</v>
      </c>
      <c r="C129" s="41" t="s">
        <v>421</v>
      </c>
      <c r="D129" s="41"/>
      <c r="E129" s="41" t="s">
        <v>17</v>
      </c>
      <c r="F129" s="41">
        <v>2025</v>
      </c>
      <c r="G129" s="41" t="s">
        <v>1346</v>
      </c>
      <c r="H129" s="41"/>
      <c r="I129" s="43"/>
      <c r="J129" s="41"/>
      <c r="K129" s="41"/>
      <c r="L129" s="41" t="s">
        <v>77</v>
      </c>
      <c r="M129" s="41">
        <v>50904</v>
      </c>
      <c r="N129" s="41" t="s">
        <v>422</v>
      </c>
      <c r="O129" s="41" t="s">
        <v>146</v>
      </c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42"/>
      <c r="AH129" s="41"/>
      <c r="AI129" s="41"/>
      <c r="AJ129" s="41"/>
      <c r="AK129" s="41"/>
      <c r="AL129" s="41"/>
      <c r="AM129" s="41"/>
      <c r="AN129" s="41"/>
      <c r="AO129" s="41"/>
      <c r="AP129" s="41"/>
      <c r="AQ129" s="41"/>
      <c r="AR129" s="41"/>
      <c r="AS129" s="41"/>
      <c r="AT129" s="41"/>
      <c r="AU129" s="41"/>
      <c r="AV129" s="41"/>
      <c r="AW129" s="41"/>
      <c r="AX129" s="41"/>
      <c r="AY129" s="41"/>
      <c r="AZ129" s="41"/>
      <c r="BA129" s="41"/>
      <c r="BB129" s="41"/>
      <c r="BC129" s="41"/>
      <c r="BD129" s="42"/>
      <c r="BE129" s="41"/>
      <c r="BF129" s="41"/>
      <c r="BG129" s="41"/>
      <c r="BH129" s="42"/>
      <c r="BI129" s="41"/>
      <c r="BJ129" s="41"/>
    </row>
    <row r="130" spans="1:62" s="38" customFormat="1" x14ac:dyDescent="0.25">
      <c r="A130" s="41"/>
      <c r="B130" s="41" t="s">
        <v>423</v>
      </c>
      <c r="C130" s="41" t="s">
        <v>424</v>
      </c>
      <c r="D130" s="41"/>
      <c r="E130" s="41" t="s">
        <v>17</v>
      </c>
      <c r="F130" s="41">
        <v>2025</v>
      </c>
      <c r="G130" s="41" t="s">
        <v>1346</v>
      </c>
      <c r="H130" s="41"/>
      <c r="I130" s="43"/>
      <c r="J130" s="41"/>
      <c r="K130" s="41"/>
      <c r="L130" s="41" t="s">
        <v>77</v>
      </c>
      <c r="M130" s="41">
        <v>150000</v>
      </c>
      <c r="N130" s="41" t="s">
        <v>425</v>
      </c>
      <c r="O130" s="41" t="s">
        <v>266</v>
      </c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  <c r="AE130" s="41"/>
      <c r="AF130" s="41"/>
      <c r="AG130" s="42"/>
      <c r="AH130" s="41"/>
      <c r="AI130" s="41"/>
      <c r="AJ130" s="41"/>
      <c r="AK130" s="41"/>
      <c r="AL130" s="41"/>
      <c r="AM130" s="41"/>
      <c r="AN130" s="41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41"/>
      <c r="BA130" s="41"/>
      <c r="BB130" s="41"/>
      <c r="BC130" s="41"/>
      <c r="BD130" s="42"/>
      <c r="BE130" s="41"/>
      <c r="BF130" s="41"/>
      <c r="BG130" s="41"/>
      <c r="BH130" s="42"/>
      <c r="BI130" s="41"/>
      <c r="BJ130" s="41"/>
    </row>
    <row r="131" spans="1:62" s="38" customFormat="1" x14ac:dyDescent="0.25">
      <c r="A131" s="41"/>
      <c r="B131" s="41" t="s">
        <v>426</v>
      </c>
      <c r="C131" s="41" t="s">
        <v>427</v>
      </c>
      <c r="D131" s="41"/>
      <c r="E131" s="41" t="s">
        <v>17</v>
      </c>
      <c r="F131" s="41">
        <v>2025</v>
      </c>
      <c r="G131" s="41" t="s">
        <v>1346</v>
      </c>
      <c r="H131" s="41"/>
      <c r="I131" s="43"/>
      <c r="J131" s="41"/>
      <c r="K131" s="41"/>
      <c r="L131" s="41" t="s">
        <v>77</v>
      </c>
      <c r="M131" s="41">
        <v>50990</v>
      </c>
      <c r="N131" s="41" t="s">
        <v>428</v>
      </c>
      <c r="O131" s="41" t="s">
        <v>111</v>
      </c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  <c r="AE131" s="41"/>
      <c r="AF131" s="41"/>
      <c r="AG131" s="42"/>
      <c r="AH131" s="41"/>
      <c r="AI131" s="41"/>
      <c r="AJ131" s="41"/>
      <c r="AK131" s="41"/>
      <c r="AL131" s="41"/>
      <c r="AM131" s="41"/>
      <c r="AN131" s="4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41"/>
      <c r="BA131" s="41"/>
      <c r="BB131" s="41"/>
      <c r="BC131" s="41"/>
      <c r="BD131" s="42"/>
      <c r="BE131" s="41"/>
      <c r="BF131" s="41"/>
      <c r="BG131" s="41"/>
      <c r="BH131" s="42"/>
      <c r="BI131" s="41"/>
      <c r="BJ131" s="41"/>
    </row>
    <row r="132" spans="1:62" s="38" customFormat="1" x14ac:dyDescent="0.25">
      <c r="A132" s="41"/>
      <c r="B132" s="41" t="s">
        <v>429</v>
      </c>
      <c r="C132" s="41" t="s">
        <v>430</v>
      </c>
      <c r="D132" s="41"/>
      <c r="E132" s="41" t="s">
        <v>17</v>
      </c>
      <c r="F132" s="41">
        <v>2025</v>
      </c>
      <c r="G132" s="41" t="s">
        <v>1346</v>
      </c>
      <c r="H132" s="41"/>
      <c r="I132" s="43"/>
      <c r="J132" s="41"/>
      <c r="K132" s="41"/>
      <c r="L132" s="41" t="s">
        <v>431</v>
      </c>
      <c r="M132" s="41">
        <v>100917</v>
      </c>
      <c r="N132" s="41" t="s">
        <v>432</v>
      </c>
      <c r="O132" s="41" t="s">
        <v>258</v>
      </c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2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1"/>
      <c r="BA132" s="41"/>
      <c r="BB132" s="41"/>
      <c r="BC132" s="41"/>
      <c r="BD132" s="42"/>
      <c r="BE132" s="41"/>
      <c r="BF132" s="41"/>
      <c r="BG132" s="41"/>
      <c r="BH132" s="42"/>
      <c r="BI132" s="41"/>
      <c r="BJ132" s="41"/>
    </row>
    <row r="133" spans="1:62" s="38" customFormat="1" x14ac:dyDescent="0.25">
      <c r="A133" s="41"/>
      <c r="B133" s="41" t="s">
        <v>433</v>
      </c>
      <c r="C133" s="41" t="s">
        <v>434</v>
      </c>
      <c r="D133" s="41"/>
      <c r="E133" s="41" t="s">
        <v>17</v>
      </c>
      <c r="F133" s="41">
        <v>2025</v>
      </c>
      <c r="G133" s="41" t="s">
        <v>1346</v>
      </c>
      <c r="H133" s="41"/>
      <c r="I133" s="43"/>
      <c r="J133" s="41"/>
      <c r="K133" s="41"/>
      <c r="L133" s="41" t="s">
        <v>268</v>
      </c>
      <c r="M133" s="41">
        <v>100924</v>
      </c>
      <c r="N133" s="41" t="s">
        <v>435</v>
      </c>
      <c r="O133" s="41" t="s">
        <v>258</v>
      </c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  <c r="AE133" s="41"/>
      <c r="AF133" s="41"/>
      <c r="AG133" s="42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1"/>
      <c r="BA133" s="41"/>
      <c r="BB133" s="41"/>
      <c r="BC133" s="41"/>
      <c r="BD133" s="42"/>
      <c r="BE133" s="41"/>
      <c r="BF133" s="41"/>
      <c r="BG133" s="41"/>
      <c r="BH133" s="42"/>
      <c r="BI133" s="41"/>
      <c r="BJ133" s="41"/>
    </row>
    <row r="134" spans="1:62" s="38" customFormat="1" x14ac:dyDescent="0.25">
      <c r="A134" s="41"/>
      <c r="B134" s="41" t="s">
        <v>436</v>
      </c>
      <c r="C134" s="41" t="s">
        <v>437</v>
      </c>
      <c r="D134" s="41"/>
      <c r="E134" s="41" t="s">
        <v>17</v>
      </c>
      <c r="F134" s="41">
        <v>2025</v>
      </c>
      <c r="G134" s="41" t="s">
        <v>1346</v>
      </c>
      <c r="H134" s="41"/>
      <c r="I134" s="43"/>
      <c r="J134" s="41"/>
      <c r="K134" s="41"/>
      <c r="L134" s="41" t="s">
        <v>77</v>
      </c>
      <c r="M134" s="41">
        <v>100973</v>
      </c>
      <c r="N134" s="41" t="s">
        <v>438</v>
      </c>
      <c r="O134" s="41" t="s">
        <v>67</v>
      </c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  <c r="AE134" s="41"/>
      <c r="AF134" s="41"/>
      <c r="AG134" s="42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1"/>
      <c r="BA134" s="41"/>
      <c r="BB134" s="41"/>
      <c r="BC134" s="41"/>
      <c r="BD134" s="42"/>
      <c r="BE134" s="41"/>
      <c r="BF134" s="41"/>
      <c r="BG134" s="41"/>
      <c r="BH134" s="42"/>
      <c r="BI134" s="41"/>
      <c r="BJ134" s="41"/>
    </row>
    <row r="135" spans="1:62" s="38" customFormat="1" x14ac:dyDescent="0.25">
      <c r="A135" s="41"/>
      <c r="B135" s="41" t="s">
        <v>439</v>
      </c>
      <c r="C135" s="41" t="s">
        <v>440</v>
      </c>
      <c r="D135" s="41"/>
      <c r="E135" s="41" t="s">
        <v>17</v>
      </c>
      <c r="F135" s="41">
        <v>2025</v>
      </c>
      <c r="G135" s="41" t="s">
        <v>1346</v>
      </c>
      <c r="H135" s="41"/>
      <c r="I135" s="43"/>
      <c r="J135" s="41"/>
      <c r="K135" s="41"/>
      <c r="L135" s="41" t="s">
        <v>268</v>
      </c>
      <c r="M135" s="41">
        <v>50964</v>
      </c>
      <c r="N135" s="41" t="s">
        <v>441</v>
      </c>
      <c r="O135" s="41" t="s">
        <v>146</v>
      </c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  <c r="AC135" s="41"/>
      <c r="AD135" s="41"/>
      <c r="AE135" s="41"/>
      <c r="AF135" s="41"/>
      <c r="AG135" s="42"/>
      <c r="AH135" s="41"/>
      <c r="AI135" s="41"/>
      <c r="AJ135" s="41"/>
      <c r="AK135" s="41"/>
      <c r="AL135" s="41"/>
      <c r="AM135" s="41"/>
      <c r="AN135" s="41"/>
      <c r="AO135" s="41"/>
      <c r="AP135" s="41"/>
      <c r="AQ135" s="41"/>
      <c r="AR135" s="41"/>
      <c r="AS135" s="41"/>
      <c r="AT135" s="41"/>
      <c r="AU135" s="41"/>
      <c r="AV135" s="41"/>
      <c r="AW135" s="41"/>
      <c r="AX135" s="41"/>
      <c r="AY135" s="41"/>
      <c r="AZ135" s="41"/>
      <c r="BA135" s="41"/>
      <c r="BB135" s="41"/>
      <c r="BC135" s="41"/>
      <c r="BD135" s="42"/>
      <c r="BE135" s="41"/>
      <c r="BF135" s="41"/>
      <c r="BG135" s="41"/>
      <c r="BH135" s="42"/>
      <c r="BI135" s="41"/>
      <c r="BJ135" s="41"/>
    </row>
    <row r="136" spans="1:62" s="38" customFormat="1" x14ac:dyDescent="0.25">
      <c r="A136" s="41"/>
      <c r="B136" s="41" t="s">
        <v>442</v>
      </c>
      <c r="C136" s="41" t="s">
        <v>443</v>
      </c>
      <c r="D136" s="41"/>
      <c r="E136" s="41" t="s">
        <v>17</v>
      </c>
      <c r="F136" s="41">
        <v>2025</v>
      </c>
      <c r="G136" s="41" t="s">
        <v>1346</v>
      </c>
      <c r="H136" s="41"/>
      <c r="I136" s="43"/>
      <c r="J136" s="41"/>
      <c r="K136" s="41"/>
      <c r="L136" s="41" t="s">
        <v>73</v>
      </c>
      <c r="M136" s="41">
        <v>100000</v>
      </c>
      <c r="N136" s="41" t="s">
        <v>444</v>
      </c>
      <c r="O136" s="41" t="s">
        <v>67</v>
      </c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  <c r="AC136" s="41"/>
      <c r="AD136" s="41"/>
      <c r="AE136" s="41"/>
      <c r="AF136" s="41"/>
      <c r="AG136" s="42"/>
      <c r="AH136" s="41"/>
      <c r="AI136" s="41"/>
      <c r="AJ136" s="41"/>
      <c r="AK136" s="41"/>
      <c r="AL136" s="41"/>
      <c r="AM136" s="41"/>
      <c r="AN136" s="41"/>
      <c r="AO136" s="41"/>
      <c r="AP136" s="41"/>
      <c r="AQ136" s="41"/>
      <c r="AR136" s="41"/>
      <c r="AS136" s="41"/>
      <c r="AT136" s="41"/>
      <c r="AU136" s="41"/>
      <c r="AV136" s="41"/>
      <c r="AW136" s="41"/>
      <c r="AX136" s="41"/>
      <c r="AY136" s="41"/>
      <c r="AZ136" s="41"/>
      <c r="BA136" s="41"/>
      <c r="BB136" s="41"/>
      <c r="BC136" s="41"/>
      <c r="BD136" s="42"/>
      <c r="BE136" s="41"/>
      <c r="BF136" s="41"/>
      <c r="BG136" s="41"/>
      <c r="BH136" s="42"/>
      <c r="BI136" s="41"/>
      <c r="BJ136" s="41"/>
    </row>
    <row r="137" spans="1:62" s="38" customFormat="1" x14ac:dyDescent="0.25">
      <c r="A137" s="41"/>
      <c r="B137" s="41" t="s">
        <v>90</v>
      </c>
      <c r="C137" s="41" t="s">
        <v>445</v>
      </c>
      <c r="D137" s="41"/>
      <c r="E137" s="41" t="s">
        <v>17</v>
      </c>
      <c r="F137" s="41">
        <v>2025</v>
      </c>
      <c r="G137" s="41" t="s">
        <v>1346</v>
      </c>
      <c r="H137" s="41"/>
      <c r="I137" s="43"/>
      <c r="J137" s="41"/>
      <c r="K137" s="41"/>
      <c r="L137" s="41" t="s">
        <v>77</v>
      </c>
      <c r="M137" s="41">
        <v>50975</v>
      </c>
      <c r="N137" s="41" t="s">
        <v>446</v>
      </c>
      <c r="O137" s="41" t="s">
        <v>146</v>
      </c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  <c r="AE137" s="41"/>
      <c r="AF137" s="41"/>
      <c r="AG137" s="42"/>
      <c r="AH137" s="41"/>
      <c r="AI137" s="41"/>
      <c r="AJ137" s="41"/>
      <c r="AK137" s="41"/>
      <c r="AL137" s="41"/>
      <c r="AM137" s="41"/>
      <c r="AN137" s="41"/>
      <c r="AO137" s="41"/>
      <c r="AP137" s="41"/>
      <c r="AQ137" s="41"/>
      <c r="AR137" s="41"/>
      <c r="AS137" s="41"/>
      <c r="AT137" s="41"/>
      <c r="AU137" s="41"/>
      <c r="AV137" s="41"/>
      <c r="AW137" s="41"/>
      <c r="AX137" s="41"/>
      <c r="AY137" s="41"/>
      <c r="AZ137" s="41"/>
      <c r="BA137" s="41"/>
      <c r="BB137" s="41"/>
      <c r="BC137" s="41"/>
      <c r="BD137" s="42"/>
      <c r="BE137" s="41"/>
      <c r="BF137" s="41"/>
      <c r="BG137" s="41"/>
      <c r="BH137" s="42"/>
      <c r="BI137" s="41"/>
      <c r="BJ137" s="41"/>
    </row>
    <row r="138" spans="1:62" s="38" customFormat="1" x14ac:dyDescent="0.25">
      <c r="A138" s="41"/>
      <c r="B138" s="41" t="s">
        <v>447</v>
      </c>
      <c r="C138" s="41" t="s">
        <v>448</v>
      </c>
      <c r="D138" s="41"/>
      <c r="E138" s="41" t="s">
        <v>17</v>
      </c>
      <c r="F138" s="41">
        <v>2025</v>
      </c>
      <c r="G138" s="41" t="s">
        <v>1346</v>
      </c>
      <c r="H138" s="41"/>
      <c r="I138" s="43"/>
      <c r="J138" s="41"/>
      <c r="K138" s="41"/>
      <c r="L138" s="41" t="s">
        <v>73</v>
      </c>
      <c r="M138" s="41">
        <v>50923</v>
      </c>
      <c r="N138" s="41" t="s">
        <v>449</v>
      </c>
      <c r="O138" s="41" t="s">
        <v>111</v>
      </c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2"/>
      <c r="AH138" s="41"/>
      <c r="AI138" s="41"/>
      <c r="AJ138" s="41"/>
      <c r="AK138" s="41"/>
      <c r="AL138" s="41"/>
      <c r="AM138" s="41"/>
      <c r="AN138" s="41"/>
      <c r="AO138" s="41"/>
      <c r="AP138" s="41"/>
      <c r="AQ138" s="41"/>
      <c r="AR138" s="41"/>
      <c r="AS138" s="41"/>
      <c r="AT138" s="41"/>
      <c r="AU138" s="41"/>
      <c r="AV138" s="41"/>
      <c r="AW138" s="41"/>
      <c r="AX138" s="41"/>
      <c r="AY138" s="41"/>
      <c r="AZ138" s="41"/>
      <c r="BA138" s="41"/>
      <c r="BB138" s="41"/>
      <c r="BC138" s="41"/>
      <c r="BD138" s="42"/>
      <c r="BE138" s="41"/>
      <c r="BF138" s="41"/>
      <c r="BG138" s="41"/>
      <c r="BH138" s="42"/>
      <c r="BI138" s="41"/>
      <c r="BJ138" s="41"/>
    </row>
    <row r="139" spans="1:62" s="38" customFormat="1" x14ac:dyDescent="0.25">
      <c r="A139" s="41"/>
      <c r="B139" s="41" t="s">
        <v>450</v>
      </c>
      <c r="C139" s="41" t="s">
        <v>451</v>
      </c>
      <c r="D139" s="41"/>
      <c r="E139" s="41" t="s">
        <v>17</v>
      </c>
      <c r="F139" s="41">
        <v>2025</v>
      </c>
      <c r="G139" s="41" t="s">
        <v>1346</v>
      </c>
      <c r="H139" s="41"/>
      <c r="I139" s="43"/>
      <c r="J139" s="41"/>
      <c r="K139" s="41"/>
      <c r="L139" s="41" t="s">
        <v>268</v>
      </c>
      <c r="M139" s="41">
        <v>100991</v>
      </c>
      <c r="N139" s="41" t="s">
        <v>452</v>
      </c>
      <c r="O139" s="41" t="s">
        <v>111</v>
      </c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2"/>
      <c r="AH139" s="41"/>
      <c r="AI139" s="41"/>
      <c r="AJ139" s="41"/>
      <c r="AK139" s="41"/>
      <c r="AL139" s="41"/>
      <c r="AM139" s="41"/>
      <c r="AN139" s="41"/>
      <c r="AO139" s="41"/>
      <c r="AP139" s="41"/>
      <c r="AQ139" s="41"/>
      <c r="AR139" s="41"/>
      <c r="AS139" s="41"/>
      <c r="AT139" s="41"/>
      <c r="AU139" s="41"/>
      <c r="AV139" s="41"/>
      <c r="AW139" s="41"/>
      <c r="AX139" s="41"/>
      <c r="AY139" s="41"/>
      <c r="AZ139" s="41"/>
      <c r="BA139" s="41"/>
      <c r="BB139" s="41"/>
      <c r="BC139" s="41"/>
      <c r="BD139" s="42"/>
      <c r="BE139" s="41"/>
      <c r="BF139" s="41"/>
      <c r="BG139" s="41"/>
      <c r="BH139" s="42"/>
      <c r="BI139" s="41"/>
      <c r="BJ139" s="41"/>
    </row>
    <row r="140" spans="1:62" s="38" customFormat="1" x14ac:dyDescent="0.25">
      <c r="A140" s="41"/>
      <c r="B140" s="41" t="s">
        <v>453</v>
      </c>
      <c r="C140" s="41" t="s">
        <v>454</v>
      </c>
      <c r="D140" s="41"/>
      <c r="E140" s="41" t="s">
        <v>17</v>
      </c>
      <c r="F140" s="41">
        <v>2025</v>
      </c>
      <c r="G140" s="41" t="s">
        <v>1346</v>
      </c>
      <c r="H140" s="41"/>
      <c r="I140" s="43"/>
      <c r="J140" s="41"/>
      <c r="K140" s="41"/>
      <c r="L140" s="41" t="s">
        <v>73</v>
      </c>
      <c r="M140" s="41">
        <v>50913</v>
      </c>
      <c r="N140" s="41" t="s">
        <v>455</v>
      </c>
      <c r="O140" s="41" t="s">
        <v>258</v>
      </c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1"/>
      <c r="AF140" s="41"/>
      <c r="AG140" s="42"/>
      <c r="AH140" s="41"/>
      <c r="AI140" s="41"/>
      <c r="AJ140" s="41"/>
      <c r="AK140" s="41"/>
      <c r="AL140" s="41"/>
      <c r="AM140" s="41"/>
      <c r="AN140" s="41"/>
      <c r="AO140" s="41"/>
      <c r="AP140" s="41"/>
      <c r="AQ140" s="41"/>
      <c r="AR140" s="41"/>
      <c r="AS140" s="41"/>
      <c r="AT140" s="41"/>
      <c r="AU140" s="41"/>
      <c r="AV140" s="41"/>
      <c r="AW140" s="41"/>
      <c r="AX140" s="41"/>
      <c r="AY140" s="41"/>
      <c r="AZ140" s="41"/>
      <c r="BA140" s="41"/>
      <c r="BB140" s="41"/>
      <c r="BC140" s="41"/>
      <c r="BD140" s="42"/>
      <c r="BE140" s="41"/>
      <c r="BF140" s="41"/>
      <c r="BG140" s="41"/>
      <c r="BH140" s="42"/>
      <c r="BI140" s="41"/>
      <c r="BJ140" s="41"/>
    </row>
    <row r="141" spans="1:62" s="38" customFormat="1" x14ac:dyDescent="0.25">
      <c r="A141" s="41"/>
      <c r="B141" s="41" t="s">
        <v>456</v>
      </c>
      <c r="C141" s="41" t="s">
        <v>457</v>
      </c>
      <c r="D141" s="41"/>
      <c r="E141" s="41" t="s">
        <v>17</v>
      </c>
      <c r="F141" s="41">
        <v>2025</v>
      </c>
      <c r="G141" s="41" t="s">
        <v>1346</v>
      </c>
      <c r="H141" s="41"/>
      <c r="I141" s="43"/>
      <c r="J141" s="41"/>
      <c r="K141" s="41"/>
      <c r="L141" s="41" t="s">
        <v>73</v>
      </c>
      <c r="M141" s="41">
        <v>60949</v>
      </c>
      <c r="N141" s="41" t="s">
        <v>458</v>
      </c>
      <c r="O141" s="41" t="s">
        <v>67</v>
      </c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42"/>
      <c r="AH141" s="41"/>
      <c r="AI141" s="41"/>
      <c r="AJ141" s="41"/>
      <c r="AK141" s="41"/>
      <c r="AL141" s="41"/>
      <c r="AM141" s="41"/>
      <c r="AN141" s="41"/>
      <c r="AO141" s="41"/>
      <c r="AP141" s="41"/>
      <c r="AQ141" s="41"/>
      <c r="AR141" s="41"/>
      <c r="AS141" s="41"/>
      <c r="AT141" s="41"/>
      <c r="AU141" s="41"/>
      <c r="AV141" s="41"/>
      <c r="AW141" s="41"/>
      <c r="AX141" s="41"/>
      <c r="AY141" s="41"/>
      <c r="AZ141" s="41"/>
      <c r="BA141" s="41"/>
      <c r="BB141" s="41"/>
      <c r="BC141" s="41"/>
      <c r="BD141" s="42"/>
      <c r="BE141" s="41"/>
      <c r="BF141" s="41"/>
      <c r="BG141" s="41"/>
      <c r="BH141" s="42"/>
      <c r="BI141" s="41"/>
      <c r="BJ141" s="41"/>
    </row>
    <row r="142" spans="1:62" s="38" customFormat="1" x14ac:dyDescent="0.25">
      <c r="A142" s="41"/>
      <c r="B142" s="41" t="s">
        <v>90</v>
      </c>
      <c r="C142" s="41" t="s">
        <v>459</v>
      </c>
      <c r="D142" s="41"/>
      <c r="E142" s="41" t="s">
        <v>17</v>
      </c>
      <c r="F142" s="41">
        <v>2025</v>
      </c>
      <c r="G142" s="41" t="s">
        <v>1346</v>
      </c>
      <c r="H142" s="41"/>
      <c r="I142" s="43"/>
      <c r="J142" s="41"/>
      <c r="K142" s="41"/>
      <c r="L142" s="41" t="s">
        <v>73</v>
      </c>
      <c r="M142" s="41">
        <v>250997</v>
      </c>
      <c r="N142" s="41" t="s">
        <v>460</v>
      </c>
      <c r="O142" s="41" t="s">
        <v>272</v>
      </c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41"/>
      <c r="AF142" s="41"/>
      <c r="AG142" s="42"/>
      <c r="AH142" s="41"/>
      <c r="AI142" s="41"/>
      <c r="AJ142" s="41"/>
      <c r="AK142" s="41"/>
      <c r="AL142" s="41"/>
      <c r="AM142" s="41"/>
      <c r="AN142" s="41"/>
      <c r="AO142" s="41"/>
      <c r="AP142" s="41"/>
      <c r="AQ142" s="41"/>
      <c r="AR142" s="41"/>
      <c r="AS142" s="41"/>
      <c r="AT142" s="41"/>
      <c r="AU142" s="41"/>
      <c r="AV142" s="41"/>
      <c r="AW142" s="41"/>
      <c r="AX142" s="41"/>
      <c r="AY142" s="41"/>
      <c r="AZ142" s="41"/>
      <c r="BA142" s="41"/>
      <c r="BB142" s="41"/>
      <c r="BC142" s="41"/>
      <c r="BD142" s="42"/>
      <c r="BE142" s="41"/>
      <c r="BF142" s="41"/>
      <c r="BG142" s="41"/>
      <c r="BH142" s="42"/>
      <c r="BI142" s="41"/>
      <c r="BJ142" s="41"/>
    </row>
    <row r="143" spans="1:62" s="38" customFormat="1" x14ac:dyDescent="0.25">
      <c r="A143" s="41"/>
      <c r="B143" s="41" t="s">
        <v>461</v>
      </c>
      <c r="C143" s="41" t="s">
        <v>462</v>
      </c>
      <c r="D143" s="41"/>
      <c r="E143" s="41" t="s">
        <v>17</v>
      </c>
      <c r="F143" s="41">
        <v>2025</v>
      </c>
      <c r="G143" s="41" t="s">
        <v>1346</v>
      </c>
      <c r="H143" s="41"/>
      <c r="I143" s="43"/>
      <c r="J143" s="41"/>
      <c r="K143" s="41"/>
      <c r="L143" s="41" t="s">
        <v>73</v>
      </c>
      <c r="M143" s="41">
        <v>100929</v>
      </c>
      <c r="N143" s="41" t="s">
        <v>463</v>
      </c>
      <c r="O143" s="41" t="s">
        <v>266</v>
      </c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  <c r="AC143" s="41"/>
      <c r="AD143" s="41"/>
      <c r="AE143" s="41"/>
      <c r="AF143" s="41"/>
      <c r="AG143" s="42"/>
      <c r="AH143" s="41"/>
      <c r="AI143" s="41"/>
      <c r="AJ143" s="41"/>
      <c r="AK143" s="41"/>
      <c r="AL143" s="41"/>
      <c r="AM143" s="41"/>
      <c r="AN143" s="41"/>
      <c r="AO143" s="41"/>
      <c r="AP143" s="41"/>
      <c r="AQ143" s="41"/>
      <c r="AR143" s="41"/>
      <c r="AS143" s="41"/>
      <c r="AT143" s="41"/>
      <c r="AU143" s="41"/>
      <c r="AV143" s="41"/>
      <c r="AW143" s="41"/>
      <c r="AX143" s="41"/>
      <c r="AY143" s="41"/>
      <c r="AZ143" s="41"/>
      <c r="BA143" s="41"/>
      <c r="BB143" s="41"/>
      <c r="BC143" s="41"/>
      <c r="BD143" s="42"/>
      <c r="BE143" s="41"/>
      <c r="BF143" s="41"/>
      <c r="BG143" s="41"/>
      <c r="BH143" s="42"/>
      <c r="BI143" s="41"/>
      <c r="BJ143" s="41"/>
    </row>
    <row r="144" spans="1:62" s="38" customFormat="1" x14ac:dyDescent="0.25">
      <c r="A144" s="41"/>
      <c r="B144" s="41" t="s">
        <v>464</v>
      </c>
      <c r="C144" s="41" t="s">
        <v>465</v>
      </c>
      <c r="D144" s="41"/>
      <c r="E144" s="41" t="s">
        <v>17</v>
      </c>
      <c r="F144" s="41">
        <v>2025</v>
      </c>
      <c r="G144" s="41" t="s">
        <v>1346</v>
      </c>
      <c r="H144" s="41"/>
      <c r="I144" s="43"/>
      <c r="J144" s="41"/>
      <c r="K144" s="41"/>
      <c r="L144" s="41" t="s">
        <v>77</v>
      </c>
      <c r="M144" s="41">
        <v>100910</v>
      </c>
      <c r="N144" s="41" t="s">
        <v>466</v>
      </c>
      <c r="O144" s="41" t="s">
        <v>258</v>
      </c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  <c r="AC144" s="41"/>
      <c r="AD144" s="41"/>
      <c r="AE144" s="41"/>
      <c r="AF144" s="41"/>
      <c r="AG144" s="42"/>
      <c r="AH144" s="41"/>
      <c r="AI144" s="41"/>
      <c r="AJ144" s="41"/>
      <c r="AK144" s="41"/>
      <c r="AL144" s="41"/>
      <c r="AM144" s="41"/>
      <c r="AN144" s="41"/>
      <c r="AO144" s="41"/>
      <c r="AP144" s="41"/>
      <c r="AQ144" s="41"/>
      <c r="AR144" s="41"/>
      <c r="AS144" s="41"/>
      <c r="AT144" s="41"/>
      <c r="AU144" s="41"/>
      <c r="AV144" s="41"/>
      <c r="AW144" s="41"/>
      <c r="AX144" s="41"/>
      <c r="AY144" s="41"/>
      <c r="AZ144" s="41"/>
      <c r="BA144" s="41"/>
      <c r="BB144" s="41"/>
      <c r="BC144" s="41"/>
      <c r="BD144" s="42"/>
      <c r="BE144" s="41"/>
      <c r="BF144" s="41"/>
      <c r="BG144" s="41"/>
      <c r="BH144" s="42"/>
      <c r="BI144" s="41"/>
      <c r="BJ144" s="41"/>
    </row>
    <row r="145" spans="1:62" s="38" customFormat="1" x14ac:dyDescent="0.25">
      <c r="A145" s="41"/>
      <c r="B145" s="41" t="s">
        <v>467</v>
      </c>
      <c r="C145" s="41" t="s">
        <v>468</v>
      </c>
      <c r="D145" s="41"/>
      <c r="E145" s="41" t="s">
        <v>17</v>
      </c>
      <c r="F145" s="41">
        <v>2025</v>
      </c>
      <c r="G145" s="41" t="s">
        <v>1346</v>
      </c>
      <c r="H145" s="41"/>
      <c r="I145" s="43"/>
      <c r="J145" s="41"/>
      <c r="K145" s="41"/>
      <c r="L145" s="41" t="s">
        <v>73</v>
      </c>
      <c r="M145" s="41">
        <v>50000</v>
      </c>
      <c r="N145" s="41" t="s">
        <v>469</v>
      </c>
      <c r="O145" s="41" t="s">
        <v>258</v>
      </c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  <c r="AC145" s="41"/>
      <c r="AD145" s="41"/>
      <c r="AE145" s="41"/>
      <c r="AF145" s="41"/>
      <c r="AG145" s="42"/>
      <c r="AH145" s="41"/>
      <c r="AI145" s="41"/>
      <c r="AJ145" s="41"/>
      <c r="AK145" s="41"/>
      <c r="AL145" s="41"/>
      <c r="AM145" s="41"/>
      <c r="AN145" s="41"/>
      <c r="AO145" s="41"/>
      <c r="AP145" s="41"/>
      <c r="AQ145" s="41"/>
      <c r="AR145" s="41"/>
      <c r="AS145" s="41"/>
      <c r="AT145" s="41"/>
      <c r="AU145" s="41"/>
      <c r="AV145" s="41"/>
      <c r="AW145" s="41"/>
      <c r="AX145" s="41"/>
      <c r="AY145" s="41"/>
      <c r="AZ145" s="41"/>
      <c r="BA145" s="41"/>
      <c r="BB145" s="41"/>
      <c r="BC145" s="41"/>
      <c r="BD145" s="42"/>
      <c r="BE145" s="41"/>
      <c r="BF145" s="41"/>
      <c r="BG145" s="41"/>
      <c r="BH145" s="42"/>
      <c r="BI145" s="41"/>
      <c r="BJ145" s="41"/>
    </row>
    <row r="146" spans="1:62" s="38" customFormat="1" x14ac:dyDescent="0.25">
      <c r="A146" s="41"/>
      <c r="B146" s="41" t="s">
        <v>376</v>
      </c>
      <c r="C146" s="41" t="s">
        <v>470</v>
      </c>
      <c r="D146" s="41"/>
      <c r="E146" s="41" t="s">
        <v>17</v>
      </c>
      <c r="F146" s="41">
        <v>2025</v>
      </c>
      <c r="G146" s="41" t="s">
        <v>1346</v>
      </c>
      <c r="H146" s="41"/>
      <c r="I146" s="43"/>
      <c r="J146" s="41"/>
      <c r="K146" s="41"/>
      <c r="L146" s="41" t="s">
        <v>73</v>
      </c>
      <c r="M146" s="41">
        <v>50956</v>
      </c>
      <c r="N146" s="41" t="s">
        <v>471</v>
      </c>
      <c r="O146" s="41" t="s">
        <v>272</v>
      </c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  <c r="AB146" s="41"/>
      <c r="AC146" s="41"/>
      <c r="AD146" s="41"/>
      <c r="AE146" s="41"/>
      <c r="AF146" s="41"/>
      <c r="AG146" s="42"/>
      <c r="AH146" s="41"/>
      <c r="AI146" s="41"/>
      <c r="AJ146" s="41"/>
      <c r="AK146" s="41"/>
      <c r="AL146" s="41"/>
      <c r="AM146" s="41"/>
      <c r="AN146" s="41"/>
      <c r="AO146" s="41"/>
      <c r="AP146" s="41"/>
      <c r="AQ146" s="41"/>
      <c r="AR146" s="41"/>
      <c r="AS146" s="41"/>
      <c r="AT146" s="41"/>
      <c r="AU146" s="41"/>
      <c r="AV146" s="41"/>
      <c r="AW146" s="41"/>
      <c r="AX146" s="41"/>
      <c r="AY146" s="41"/>
      <c r="AZ146" s="41"/>
      <c r="BA146" s="41"/>
      <c r="BB146" s="41"/>
      <c r="BC146" s="41"/>
      <c r="BD146" s="42"/>
      <c r="BE146" s="41"/>
      <c r="BF146" s="41"/>
      <c r="BG146" s="41"/>
      <c r="BH146" s="42"/>
      <c r="BI146" s="41"/>
      <c r="BJ146" s="41"/>
    </row>
    <row r="147" spans="1:62" s="38" customFormat="1" x14ac:dyDescent="0.25">
      <c r="A147" s="41"/>
      <c r="B147" s="41" t="s">
        <v>472</v>
      </c>
      <c r="C147" s="41" t="s">
        <v>473</v>
      </c>
      <c r="D147" s="41"/>
      <c r="E147" s="41" t="s">
        <v>17</v>
      </c>
      <c r="F147" s="41">
        <v>2025</v>
      </c>
      <c r="G147" s="41" t="s">
        <v>1346</v>
      </c>
      <c r="H147" s="41"/>
      <c r="I147" s="43"/>
      <c r="J147" s="41"/>
      <c r="K147" s="41"/>
      <c r="L147" s="41" t="s">
        <v>73</v>
      </c>
      <c r="M147" s="41">
        <v>250000</v>
      </c>
      <c r="N147" s="41" t="s">
        <v>474</v>
      </c>
      <c r="O147" s="41" t="s">
        <v>67</v>
      </c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  <c r="AB147" s="41"/>
      <c r="AC147" s="41"/>
      <c r="AD147" s="41"/>
      <c r="AE147" s="41"/>
      <c r="AF147" s="41"/>
      <c r="AG147" s="42"/>
      <c r="AH147" s="41"/>
      <c r="AI147" s="41"/>
      <c r="AJ147" s="41"/>
      <c r="AK147" s="41"/>
      <c r="AL147" s="41"/>
      <c r="AM147" s="41"/>
      <c r="AN147" s="41"/>
      <c r="AO147" s="41"/>
      <c r="AP147" s="41"/>
      <c r="AQ147" s="41"/>
      <c r="AR147" s="41"/>
      <c r="AS147" s="41"/>
      <c r="AT147" s="41"/>
      <c r="AU147" s="41"/>
      <c r="AV147" s="41"/>
      <c r="AW147" s="41"/>
      <c r="AX147" s="41"/>
      <c r="AY147" s="41"/>
      <c r="AZ147" s="41"/>
      <c r="BA147" s="41"/>
      <c r="BB147" s="41"/>
      <c r="BC147" s="41"/>
      <c r="BD147" s="42"/>
      <c r="BE147" s="41"/>
      <c r="BF147" s="41"/>
      <c r="BG147" s="41"/>
      <c r="BH147" s="42"/>
      <c r="BI147" s="41"/>
      <c r="BJ147" s="41"/>
    </row>
    <row r="148" spans="1:62" s="38" customFormat="1" x14ac:dyDescent="0.25">
      <c r="A148" s="41"/>
      <c r="B148" s="41" t="s">
        <v>90</v>
      </c>
      <c r="C148" s="41" t="s">
        <v>475</v>
      </c>
      <c r="D148" s="41"/>
      <c r="E148" s="41" t="s">
        <v>17</v>
      </c>
      <c r="F148" s="41">
        <v>2025</v>
      </c>
      <c r="G148" s="41" t="s">
        <v>1346</v>
      </c>
      <c r="H148" s="41"/>
      <c r="I148" s="43"/>
      <c r="J148" s="41"/>
      <c r="K148" s="41"/>
      <c r="L148" s="41" t="s">
        <v>73</v>
      </c>
      <c r="M148" s="41">
        <v>100993</v>
      </c>
      <c r="N148" s="41" t="s">
        <v>476</v>
      </c>
      <c r="O148" s="41" t="s">
        <v>111</v>
      </c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  <c r="AC148" s="41"/>
      <c r="AD148" s="41"/>
      <c r="AE148" s="41"/>
      <c r="AF148" s="41"/>
      <c r="AG148" s="42"/>
      <c r="AH148" s="41"/>
      <c r="AI148" s="41"/>
      <c r="AJ148" s="41"/>
      <c r="AK148" s="41"/>
      <c r="AL148" s="41"/>
      <c r="AM148" s="41"/>
      <c r="AN148" s="41"/>
      <c r="AO148" s="41"/>
      <c r="AP148" s="41"/>
      <c r="AQ148" s="41"/>
      <c r="AR148" s="41"/>
      <c r="AS148" s="41"/>
      <c r="AT148" s="41"/>
      <c r="AU148" s="41"/>
      <c r="AV148" s="41"/>
      <c r="AW148" s="41"/>
      <c r="AX148" s="41"/>
      <c r="AY148" s="41"/>
      <c r="AZ148" s="41"/>
      <c r="BA148" s="41"/>
      <c r="BB148" s="41"/>
      <c r="BC148" s="41"/>
      <c r="BD148" s="42"/>
      <c r="BE148" s="41"/>
      <c r="BF148" s="41"/>
      <c r="BG148" s="41"/>
      <c r="BH148" s="42"/>
      <c r="BI148" s="41"/>
      <c r="BJ148" s="41"/>
    </row>
    <row r="149" spans="1:62" s="38" customFormat="1" x14ac:dyDescent="0.25">
      <c r="A149" s="41"/>
      <c r="B149" s="41" t="s">
        <v>90</v>
      </c>
      <c r="C149" s="41" t="s">
        <v>477</v>
      </c>
      <c r="D149" s="41"/>
      <c r="E149" s="41" t="s">
        <v>17</v>
      </c>
      <c r="F149" s="41">
        <v>2025</v>
      </c>
      <c r="G149" s="41" t="s">
        <v>1346</v>
      </c>
      <c r="H149" s="41"/>
      <c r="I149" s="43"/>
      <c r="J149" s="41"/>
      <c r="K149" s="41"/>
      <c r="L149" s="41" t="s">
        <v>478</v>
      </c>
      <c r="M149" s="41">
        <v>50921</v>
      </c>
      <c r="N149" s="41" t="s">
        <v>479</v>
      </c>
      <c r="O149" s="41" t="s">
        <v>106</v>
      </c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  <c r="AC149" s="41"/>
      <c r="AD149" s="41"/>
      <c r="AE149" s="41"/>
      <c r="AF149" s="41"/>
      <c r="AG149" s="42"/>
      <c r="AH149" s="41"/>
      <c r="AI149" s="41"/>
      <c r="AJ149" s="41"/>
      <c r="AK149" s="41"/>
      <c r="AL149" s="41"/>
      <c r="AM149" s="41"/>
      <c r="AN149" s="41"/>
      <c r="AO149" s="41"/>
      <c r="AP149" s="41"/>
      <c r="AQ149" s="41"/>
      <c r="AR149" s="41"/>
      <c r="AS149" s="41"/>
      <c r="AT149" s="41"/>
      <c r="AU149" s="41"/>
      <c r="AV149" s="41"/>
      <c r="AW149" s="41"/>
      <c r="AX149" s="41"/>
      <c r="AY149" s="41"/>
      <c r="AZ149" s="41"/>
      <c r="BA149" s="41"/>
      <c r="BB149" s="41"/>
      <c r="BC149" s="41"/>
      <c r="BD149" s="42"/>
      <c r="BE149" s="41"/>
      <c r="BF149" s="41"/>
      <c r="BG149" s="41"/>
      <c r="BH149" s="42"/>
      <c r="BI149" s="41"/>
      <c r="BJ149" s="41"/>
    </row>
    <row r="150" spans="1:62" s="38" customFormat="1" x14ac:dyDescent="0.25">
      <c r="A150" s="41"/>
      <c r="B150" s="41" t="s">
        <v>480</v>
      </c>
      <c r="C150" s="41" t="s">
        <v>481</v>
      </c>
      <c r="D150" s="41"/>
      <c r="E150" s="41" t="s">
        <v>17</v>
      </c>
      <c r="F150" s="41">
        <v>2025</v>
      </c>
      <c r="G150" s="41" t="s">
        <v>1346</v>
      </c>
      <c r="H150" s="41"/>
      <c r="I150" s="43"/>
      <c r="J150" s="41"/>
      <c r="K150" s="41"/>
      <c r="L150" s="41" t="s">
        <v>77</v>
      </c>
      <c r="M150" s="41">
        <v>100988</v>
      </c>
      <c r="N150" s="41" t="s">
        <v>482</v>
      </c>
      <c r="O150" s="41" t="s">
        <v>99</v>
      </c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  <c r="AC150" s="41"/>
      <c r="AD150" s="41"/>
      <c r="AE150" s="41"/>
      <c r="AF150" s="41"/>
      <c r="AG150" s="42"/>
      <c r="AH150" s="41"/>
      <c r="AI150" s="41"/>
      <c r="AJ150" s="41"/>
      <c r="AK150" s="41"/>
      <c r="AL150" s="41"/>
      <c r="AM150" s="41"/>
      <c r="AN150" s="41"/>
      <c r="AO150" s="41"/>
      <c r="AP150" s="41"/>
      <c r="AQ150" s="41"/>
      <c r="AR150" s="41"/>
      <c r="AS150" s="41"/>
      <c r="AT150" s="41"/>
      <c r="AU150" s="41"/>
      <c r="AV150" s="41"/>
      <c r="AW150" s="41"/>
      <c r="AX150" s="41"/>
      <c r="AY150" s="41"/>
      <c r="AZ150" s="41"/>
      <c r="BA150" s="41"/>
      <c r="BB150" s="41"/>
      <c r="BC150" s="41"/>
      <c r="BD150" s="42"/>
      <c r="BE150" s="41"/>
      <c r="BF150" s="41"/>
      <c r="BG150" s="41"/>
      <c r="BH150" s="42"/>
      <c r="BI150" s="41"/>
      <c r="BJ150" s="41"/>
    </row>
    <row r="151" spans="1:62" s="38" customFormat="1" x14ac:dyDescent="0.25">
      <c r="A151" s="41"/>
      <c r="B151" s="41" t="s">
        <v>90</v>
      </c>
      <c r="C151" s="41" t="s">
        <v>483</v>
      </c>
      <c r="D151" s="41"/>
      <c r="E151" s="41" t="s">
        <v>17</v>
      </c>
      <c r="F151" s="41">
        <v>2025</v>
      </c>
      <c r="G151" s="41" t="s">
        <v>1346</v>
      </c>
      <c r="H151" s="41"/>
      <c r="I151" s="43"/>
      <c r="J151" s="41"/>
      <c r="K151" s="41"/>
      <c r="L151" s="41" t="s">
        <v>77</v>
      </c>
      <c r="M151" s="41">
        <v>100993</v>
      </c>
      <c r="N151" s="41" t="s">
        <v>484</v>
      </c>
      <c r="O151" s="41" t="s">
        <v>266</v>
      </c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1"/>
      <c r="AC151" s="41"/>
      <c r="AD151" s="41"/>
      <c r="AE151" s="41"/>
      <c r="AF151" s="41"/>
      <c r="AG151" s="42"/>
      <c r="AH151" s="41"/>
      <c r="AI151" s="41"/>
      <c r="AJ151" s="41"/>
      <c r="AK151" s="41"/>
      <c r="AL151" s="41"/>
      <c r="AM151" s="41"/>
      <c r="AN151" s="41"/>
      <c r="AO151" s="41"/>
      <c r="AP151" s="41"/>
      <c r="AQ151" s="41"/>
      <c r="AR151" s="41"/>
      <c r="AS151" s="41"/>
      <c r="AT151" s="41"/>
      <c r="AU151" s="41"/>
      <c r="AV151" s="41"/>
      <c r="AW151" s="41"/>
      <c r="AX151" s="41"/>
      <c r="AY151" s="41"/>
      <c r="AZ151" s="41"/>
      <c r="BA151" s="41"/>
      <c r="BB151" s="41"/>
      <c r="BC151" s="41"/>
      <c r="BD151" s="42"/>
      <c r="BE151" s="41"/>
      <c r="BF151" s="41"/>
      <c r="BG151" s="41"/>
      <c r="BH151" s="42"/>
      <c r="BI151" s="41"/>
      <c r="BJ151" s="41"/>
    </row>
    <row r="152" spans="1:62" s="38" customFormat="1" x14ac:dyDescent="0.25">
      <c r="A152" s="41"/>
      <c r="B152" s="41" t="s">
        <v>376</v>
      </c>
      <c r="C152" s="41" t="s">
        <v>485</v>
      </c>
      <c r="D152" s="41"/>
      <c r="E152" s="41" t="s">
        <v>17</v>
      </c>
      <c r="F152" s="41">
        <v>2025</v>
      </c>
      <c r="G152" s="41" t="s">
        <v>1346</v>
      </c>
      <c r="H152" s="41"/>
      <c r="I152" s="43"/>
      <c r="J152" s="41"/>
      <c r="K152" s="41"/>
      <c r="L152" s="41" t="s">
        <v>77</v>
      </c>
      <c r="M152" s="41">
        <v>100902</v>
      </c>
      <c r="N152" s="41" t="s">
        <v>486</v>
      </c>
      <c r="O152" s="41" t="s">
        <v>272</v>
      </c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2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41"/>
      <c r="AS152" s="41"/>
      <c r="AT152" s="41"/>
      <c r="AU152" s="41"/>
      <c r="AV152" s="41"/>
      <c r="AW152" s="41"/>
      <c r="AX152" s="41"/>
      <c r="AY152" s="41"/>
      <c r="AZ152" s="41"/>
      <c r="BA152" s="41"/>
      <c r="BB152" s="41"/>
      <c r="BC152" s="41"/>
      <c r="BD152" s="42"/>
      <c r="BE152" s="41"/>
      <c r="BF152" s="41"/>
      <c r="BG152" s="41"/>
      <c r="BH152" s="42"/>
      <c r="BI152" s="41"/>
      <c r="BJ152" s="41"/>
    </row>
    <row r="153" spans="1:62" s="38" customFormat="1" x14ac:dyDescent="0.25">
      <c r="A153" s="41"/>
      <c r="B153" s="41" t="s">
        <v>487</v>
      </c>
      <c r="C153" s="41" t="s">
        <v>488</v>
      </c>
      <c r="D153" s="41"/>
      <c r="E153" s="41" t="s">
        <v>17</v>
      </c>
      <c r="F153" s="41">
        <v>2025</v>
      </c>
      <c r="G153" s="41" t="s">
        <v>1346</v>
      </c>
      <c r="H153" s="41"/>
      <c r="I153" s="43"/>
      <c r="J153" s="41"/>
      <c r="K153" s="41"/>
      <c r="L153" s="41" t="s">
        <v>77</v>
      </c>
      <c r="M153" s="41">
        <v>250960</v>
      </c>
      <c r="N153" s="41" t="s">
        <v>489</v>
      </c>
      <c r="O153" s="41" t="s">
        <v>258</v>
      </c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  <c r="AB153" s="41"/>
      <c r="AC153" s="41"/>
      <c r="AD153" s="41"/>
      <c r="AE153" s="41"/>
      <c r="AF153" s="41"/>
      <c r="AG153" s="42"/>
      <c r="AH153" s="41"/>
      <c r="AI153" s="41"/>
      <c r="AJ153" s="41"/>
      <c r="AK153" s="41"/>
      <c r="AL153" s="41"/>
      <c r="AM153" s="41"/>
      <c r="AN153" s="41"/>
      <c r="AO153" s="41"/>
      <c r="AP153" s="41"/>
      <c r="AQ153" s="41"/>
      <c r="AR153" s="41"/>
      <c r="AS153" s="41"/>
      <c r="AT153" s="41"/>
      <c r="AU153" s="41"/>
      <c r="AV153" s="41"/>
      <c r="AW153" s="41"/>
      <c r="AX153" s="41"/>
      <c r="AY153" s="41"/>
      <c r="AZ153" s="41"/>
      <c r="BA153" s="41"/>
      <c r="BB153" s="41"/>
      <c r="BC153" s="41"/>
      <c r="BD153" s="42"/>
      <c r="BE153" s="41"/>
      <c r="BF153" s="41"/>
      <c r="BG153" s="41"/>
      <c r="BH153" s="42"/>
      <c r="BI153" s="41"/>
      <c r="BJ153" s="41"/>
    </row>
    <row r="154" spans="1:62" s="38" customFormat="1" x14ac:dyDescent="0.25">
      <c r="A154" s="41"/>
      <c r="B154" s="41" t="s">
        <v>490</v>
      </c>
      <c r="C154" s="41" t="s">
        <v>491</v>
      </c>
      <c r="D154" s="41"/>
      <c r="E154" s="41" t="s">
        <v>17</v>
      </c>
      <c r="F154" s="41">
        <v>2025</v>
      </c>
      <c r="G154" s="41" t="s">
        <v>1346</v>
      </c>
      <c r="H154" s="41"/>
      <c r="I154" s="43"/>
      <c r="J154" s="41"/>
      <c r="K154" s="41"/>
      <c r="L154" s="41" t="s">
        <v>77</v>
      </c>
      <c r="M154" s="41">
        <v>100985</v>
      </c>
      <c r="N154" s="41" t="s">
        <v>492</v>
      </c>
      <c r="O154" s="41" t="s">
        <v>493</v>
      </c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  <c r="AC154" s="41"/>
      <c r="AD154" s="41"/>
      <c r="AE154" s="41"/>
      <c r="AF154" s="41"/>
      <c r="AG154" s="42"/>
      <c r="AH154" s="41"/>
      <c r="AI154" s="41"/>
      <c r="AJ154" s="41"/>
      <c r="AK154" s="41"/>
      <c r="AL154" s="41"/>
      <c r="AM154" s="41"/>
      <c r="AN154" s="41"/>
      <c r="AO154" s="41"/>
      <c r="AP154" s="41"/>
      <c r="AQ154" s="41"/>
      <c r="AR154" s="41"/>
      <c r="AS154" s="41"/>
      <c r="AT154" s="41"/>
      <c r="AU154" s="41"/>
      <c r="AV154" s="41"/>
      <c r="AW154" s="41"/>
      <c r="AX154" s="41"/>
      <c r="AY154" s="41"/>
      <c r="AZ154" s="41"/>
      <c r="BA154" s="41"/>
      <c r="BB154" s="41"/>
      <c r="BC154" s="41"/>
      <c r="BD154" s="42"/>
      <c r="BE154" s="41"/>
      <c r="BF154" s="41"/>
      <c r="BG154" s="41"/>
      <c r="BH154" s="42"/>
      <c r="BI154" s="41"/>
      <c r="BJ154" s="41"/>
    </row>
    <row r="155" spans="1:62" s="38" customFormat="1" x14ac:dyDescent="0.25">
      <c r="A155" s="41"/>
      <c r="B155" s="41" t="s">
        <v>494</v>
      </c>
      <c r="C155" s="41" t="s">
        <v>495</v>
      </c>
      <c r="D155" s="41"/>
      <c r="E155" s="41" t="s">
        <v>17</v>
      </c>
      <c r="F155" s="41">
        <v>2025</v>
      </c>
      <c r="G155" s="41" t="s">
        <v>1346</v>
      </c>
      <c r="H155" s="41"/>
      <c r="I155" s="43"/>
      <c r="J155" s="41"/>
      <c r="K155" s="41"/>
      <c r="L155" s="41" t="s">
        <v>478</v>
      </c>
      <c r="M155" s="41">
        <v>50931</v>
      </c>
      <c r="N155" s="41" t="s">
        <v>496</v>
      </c>
      <c r="O155" s="41" t="s">
        <v>235</v>
      </c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  <c r="AC155" s="41"/>
      <c r="AD155" s="41"/>
      <c r="AE155" s="41"/>
      <c r="AF155" s="41"/>
      <c r="AG155" s="42"/>
      <c r="AH155" s="41"/>
      <c r="AI155" s="41"/>
      <c r="AJ155" s="41"/>
      <c r="AK155" s="41"/>
      <c r="AL155" s="41"/>
      <c r="AM155" s="41"/>
      <c r="AN155" s="41"/>
      <c r="AO155" s="41"/>
      <c r="AP155" s="41"/>
      <c r="AQ155" s="41"/>
      <c r="AR155" s="41"/>
      <c r="AS155" s="41"/>
      <c r="AT155" s="41"/>
      <c r="AU155" s="41"/>
      <c r="AV155" s="41"/>
      <c r="AW155" s="41"/>
      <c r="AX155" s="41"/>
      <c r="AY155" s="41"/>
      <c r="AZ155" s="41"/>
      <c r="BA155" s="41"/>
      <c r="BB155" s="41"/>
      <c r="BC155" s="41"/>
      <c r="BD155" s="42"/>
      <c r="BE155" s="41"/>
      <c r="BF155" s="41"/>
      <c r="BG155" s="41"/>
      <c r="BH155" s="42"/>
      <c r="BI155" s="41"/>
      <c r="BJ155" s="41"/>
    </row>
    <row r="156" spans="1:62" s="38" customFormat="1" x14ac:dyDescent="0.25">
      <c r="A156" s="41"/>
      <c r="B156" s="41" t="s">
        <v>497</v>
      </c>
      <c r="C156" s="41" t="s">
        <v>498</v>
      </c>
      <c r="D156" s="41"/>
      <c r="E156" s="41" t="s">
        <v>17</v>
      </c>
      <c r="F156" s="41">
        <v>2025</v>
      </c>
      <c r="G156" s="41" t="s">
        <v>1346</v>
      </c>
      <c r="H156" s="41"/>
      <c r="I156" s="43"/>
      <c r="J156" s="41"/>
      <c r="K156" s="41"/>
      <c r="L156" s="41" t="s">
        <v>73</v>
      </c>
      <c r="M156" s="41">
        <v>50933</v>
      </c>
      <c r="N156" s="41" t="s">
        <v>499</v>
      </c>
      <c r="O156" s="41" t="s">
        <v>111</v>
      </c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  <c r="AC156" s="41"/>
      <c r="AD156" s="41"/>
      <c r="AE156" s="41"/>
      <c r="AF156" s="41"/>
      <c r="AG156" s="42"/>
      <c r="AH156" s="41"/>
      <c r="AI156" s="41"/>
      <c r="AJ156" s="41"/>
      <c r="AK156" s="41"/>
      <c r="AL156" s="41"/>
      <c r="AM156" s="41"/>
      <c r="AN156" s="41"/>
      <c r="AO156" s="41"/>
      <c r="AP156" s="41"/>
      <c r="AQ156" s="41"/>
      <c r="AR156" s="41"/>
      <c r="AS156" s="41"/>
      <c r="AT156" s="41"/>
      <c r="AU156" s="41"/>
      <c r="AV156" s="41"/>
      <c r="AW156" s="41"/>
      <c r="AX156" s="41"/>
      <c r="AY156" s="41"/>
      <c r="AZ156" s="41"/>
      <c r="BA156" s="41"/>
      <c r="BB156" s="41"/>
      <c r="BC156" s="41"/>
      <c r="BD156" s="42"/>
      <c r="BE156" s="41"/>
      <c r="BF156" s="41"/>
      <c r="BG156" s="41"/>
      <c r="BH156" s="42"/>
      <c r="BI156" s="41"/>
      <c r="BJ156" s="41"/>
    </row>
    <row r="157" spans="1:62" s="38" customFormat="1" x14ac:dyDescent="0.25">
      <c r="A157" s="41"/>
      <c r="B157" s="41" t="s">
        <v>500</v>
      </c>
      <c r="C157" s="41" t="s">
        <v>501</v>
      </c>
      <c r="D157" s="41"/>
      <c r="E157" s="41" t="s">
        <v>17</v>
      </c>
      <c r="F157" s="41">
        <v>2025</v>
      </c>
      <c r="G157" s="41" t="s">
        <v>1346</v>
      </c>
      <c r="H157" s="41"/>
      <c r="I157" s="43"/>
      <c r="J157" s="41"/>
      <c r="K157" s="41"/>
      <c r="L157" s="41" t="s">
        <v>502</v>
      </c>
      <c r="M157" s="41">
        <v>100934</v>
      </c>
      <c r="N157" s="41" t="s">
        <v>503</v>
      </c>
      <c r="O157" s="41" t="s">
        <v>504</v>
      </c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41"/>
      <c r="AC157" s="41"/>
      <c r="AD157" s="41"/>
      <c r="AE157" s="41"/>
      <c r="AF157" s="41"/>
      <c r="AG157" s="42"/>
      <c r="AH157" s="41"/>
      <c r="AI157" s="41"/>
      <c r="AJ157" s="41"/>
      <c r="AK157" s="41"/>
      <c r="AL157" s="41"/>
      <c r="AM157" s="41"/>
      <c r="AN157" s="41"/>
      <c r="AO157" s="41"/>
      <c r="AP157" s="41"/>
      <c r="AQ157" s="41"/>
      <c r="AR157" s="41"/>
      <c r="AS157" s="41"/>
      <c r="AT157" s="41"/>
      <c r="AU157" s="41"/>
      <c r="AV157" s="41"/>
      <c r="AW157" s="41"/>
      <c r="AX157" s="41"/>
      <c r="AY157" s="41"/>
      <c r="AZ157" s="41"/>
      <c r="BA157" s="41"/>
      <c r="BB157" s="41"/>
      <c r="BC157" s="41"/>
      <c r="BD157" s="42"/>
      <c r="BE157" s="41"/>
      <c r="BF157" s="41"/>
      <c r="BG157" s="41"/>
      <c r="BH157" s="42"/>
      <c r="BI157" s="41"/>
      <c r="BJ157" s="41"/>
    </row>
    <row r="158" spans="1:62" s="38" customFormat="1" x14ac:dyDescent="0.25">
      <c r="A158" s="41"/>
      <c r="B158" s="41" t="s">
        <v>505</v>
      </c>
      <c r="C158" s="41" t="s">
        <v>506</v>
      </c>
      <c r="D158" s="41"/>
      <c r="E158" s="41" t="s">
        <v>17</v>
      </c>
      <c r="F158" s="41">
        <v>2025</v>
      </c>
      <c r="G158" s="41" t="s">
        <v>1346</v>
      </c>
      <c r="H158" s="41"/>
      <c r="I158" s="43"/>
      <c r="J158" s="41"/>
      <c r="K158" s="41"/>
      <c r="L158" s="41" t="s">
        <v>73</v>
      </c>
      <c r="M158" s="41">
        <v>100939</v>
      </c>
      <c r="N158" s="41" t="s">
        <v>507</v>
      </c>
      <c r="O158" s="41" t="s">
        <v>235</v>
      </c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  <c r="AC158" s="41"/>
      <c r="AD158" s="41"/>
      <c r="AE158" s="41"/>
      <c r="AF158" s="41"/>
      <c r="AG158" s="42"/>
      <c r="AH158" s="41"/>
      <c r="AI158" s="41"/>
      <c r="AJ158" s="41"/>
      <c r="AK158" s="41"/>
      <c r="AL158" s="41"/>
      <c r="AM158" s="41"/>
      <c r="AN158" s="41"/>
      <c r="AO158" s="41"/>
      <c r="AP158" s="41"/>
      <c r="AQ158" s="41"/>
      <c r="AR158" s="41"/>
      <c r="AS158" s="41"/>
      <c r="AT158" s="41"/>
      <c r="AU158" s="41"/>
      <c r="AV158" s="41"/>
      <c r="AW158" s="41"/>
      <c r="AX158" s="41"/>
      <c r="AY158" s="41"/>
      <c r="AZ158" s="41"/>
      <c r="BA158" s="41"/>
      <c r="BB158" s="41"/>
      <c r="BC158" s="41"/>
      <c r="BD158" s="42"/>
      <c r="BE158" s="41"/>
      <c r="BF158" s="41"/>
      <c r="BG158" s="41"/>
      <c r="BH158" s="42"/>
      <c r="BI158" s="41"/>
      <c r="BJ158" s="41"/>
    </row>
    <row r="159" spans="1:62" s="38" customFormat="1" x14ac:dyDescent="0.25">
      <c r="A159" s="41"/>
      <c r="B159" s="41" t="s">
        <v>508</v>
      </c>
      <c r="C159" s="41" t="s">
        <v>509</v>
      </c>
      <c r="D159" s="41"/>
      <c r="E159" s="41" t="s">
        <v>17</v>
      </c>
      <c r="F159" s="41">
        <v>2025</v>
      </c>
      <c r="G159" s="41" t="s">
        <v>1346</v>
      </c>
      <c r="H159" s="41"/>
      <c r="I159" s="43"/>
      <c r="J159" s="41"/>
      <c r="K159" s="41"/>
      <c r="L159" s="41" t="s">
        <v>77</v>
      </c>
      <c r="M159" s="41">
        <v>50942</v>
      </c>
      <c r="N159" s="41" t="s">
        <v>510</v>
      </c>
      <c r="O159" s="41" t="s">
        <v>235</v>
      </c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  <c r="AC159" s="41"/>
      <c r="AD159" s="41"/>
      <c r="AE159" s="41"/>
      <c r="AF159" s="41"/>
      <c r="AG159" s="42"/>
      <c r="AH159" s="41"/>
      <c r="AI159" s="41"/>
      <c r="AJ159" s="41"/>
      <c r="AK159" s="41"/>
      <c r="AL159" s="41"/>
      <c r="AM159" s="41"/>
      <c r="AN159" s="41"/>
      <c r="AO159" s="41"/>
      <c r="AP159" s="41"/>
      <c r="AQ159" s="41"/>
      <c r="AR159" s="41"/>
      <c r="AS159" s="41"/>
      <c r="AT159" s="41"/>
      <c r="AU159" s="41"/>
      <c r="AV159" s="41"/>
      <c r="AW159" s="41"/>
      <c r="AX159" s="41"/>
      <c r="AY159" s="41"/>
      <c r="AZ159" s="41"/>
      <c r="BA159" s="41"/>
      <c r="BB159" s="41"/>
      <c r="BC159" s="41"/>
      <c r="BD159" s="42"/>
      <c r="BE159" s="41"/>
      <c r="BF159" s="41"/>
      <c r="BG159" s="41"/>
      <c r="BH159" s="42"/>
      <c r="BI159" s="41"/>
      <c r="BJ159" s="41"/>
    </row>
    <row r="160" spans="1:62" s="38" customFormat="1" x14ac:dyDescent="0.25">
      <c r="A160" s="41"/>
      <c r="B160" s="41" t="s">
        <v>511</v>
      </c>
      <c r="C160" s="41" t="s">
        <v>512</v>
      </c>
      <c r="D160" s="41"/>
      <c r="E160" s="41" t="s">
        <v>17</v>
      </c>
      <c r="F160" s="41">
        <v>2025</v>
      </c>
      <c r="G160" s="41" t="s">
        <v>1346</v>
      </c>
      <c r="H160" s="41"/>
      <c r="I160" s="43"/>
      <c r="J160" s="41"/>
      <c r="K160" s="41"/>
      <c r="L160" s="41" t="s">
        <v>73</v>
      </c>
      <c r="M160" s="41">
        <v>50968</v>
      </c>
      <c r="N160" s="41" t="s">
        <v>513</v>
      </c>
      <c r="O160" s="41" t="s">
        <v>272</v>
      </c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42"/>
      <c r="AH160" s="41"/>
      <c r="AI160" s="41"/>
      <c r="AJ160" s="41"/>
      <c r="AK160" s="41"/>
      <c r="AL160" s="41"/>
      <c r="AM160" s="41"/>
      <c r="AN160" s="41"/>
      <c r="AO160" s="41"/>
      <c r="AP160" s="41"/>
      <c r="AQ160" s="41"/>
      <c r="AR160" s="41"/>
      <c r="AS160" s="41"/>
      <c r="AT160" s="41"/>
      <c r="AU160" s="41"/>
      <c r="AV160" s="41"/>
      <c r="AW160" s="41"/>
      <c r="AX160" s="41"/>
      <c r="AY160" s="41"/>
      <c r="AZ160" s="41"/>
      <c r="BA160" s="41"/>
      <c r="BB160" s="41"/>
      <c r="BC160" s="41"/>
      <c r="BD160" s="42"/>
      <c r="BE160" s="41"/>
      <c r="BF160" s="41"/>
      <c r="BG160" s="41"/>
      <c r="BH160" s="42"/>
      <c r="BI160" s="41"/>
      <c r="BJ160" s="41"/>
    </row>
    <row r="161" spans="1:62" s="38" customFormat="1" x14ac:dyDescent="0.25">
      <c r="A161" s="41"/>
      <c r="B161" s="41" t="s">
        <v>514</v>
      </c>
      <c r="C161" s="41" t="s">
        <v>515</v>
      </c>
      <c r="D161" s="41"/>
      <c r="E161" s="41" t="s">
        <v>17</v>
      </c>
      <c r="F161" s="41">
        <v>2025</v>
      </c>
      <c r="G161" s="41" t="s">
        <v>1346</v>
      </c>
      <c r="H161" s="41"/>
      <c r="I161" s="43"/>
      <c r="J161" s="41"/>
      <c r="K161" s="41"/>
      <c r="L161" s="41" t="s">
        <v>268</v>
      </c>
      <c r="M161" s="41">
        <v>50979</v>
      </c>
      <c r="N161" s="41" t="s">
        <v>516</v>
      </c>
      <c r="O161" s="41" t="s">
        <v>272</v>
      </c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  <c r="AC161" s="41"/>
      <c r="AD161" s="41"/>
      <c r="AE161" s="41"/>
      <c r="AF161" s="41"/>
      <c r="AG161" s="42"/>
      <c r="AH161" s="41"/>
      <c r="AI161" s="41"/>
      <c r="AJ161" s="41"/>
      <c r="AK161" s="41"/>
      <c r="AL161" s="41"/>
      <c r="AM161" s="41"/>
      <c r="AN161" s="41"/>
      <c r="AO161" s="41"/>
      <c r="AP161" s="41"/>
      <c r="AQ161" s="41"/>
      <c r="AR161" s="41"/>
      <c r="AS161" s="41"/>
      <c r="AT161" s="41"/>
      <c r="AU161" s="41"/>
      <c r="AV161" s="41"/>
      <c r="AW161" s="41"/>
      <c r="AX161" s="41"/>
      <c r="AY161" s="41"/>
      <c r="AZ161" s="41"/>
      <c r="BA161" s="41"/>
      <c r="BB161" s="41"/>
      <c r="BC161" s="41"/>
      <c r="BD161" s="42"/>
      <c r="BE161" s="41"/>
      <c r="BF161" s="41"/>
      <c r="BG161" s="41"/>
      <c r="BH161" s="42"/>
      <c r="BI161" s="41"/>
      <c r="BJ161" s="41"/>
    </row>
    <row r="162" spans="1:62" s="38" customFormat="1" x14ac:dyDescent="0.25">
      <c r="A162" s="41"/>
      <c r="B162" s="41" t="s">
        <v>376</v>
      </c>
      <c r="C162" s="41" t="s">
        <v>517</v>
      </c>
      <c r="D162" s="41"/>
      <c r="E162" s="41" t="s">
        <v>17</v>
      </c>
      <c r="F162" s="41">
        <v>2025</v>
      </c>
      <c r="G162" s="41" t="s">
        <v>1346</v>
      </c>
      <c r="H162" s="41"/>
      <c r="I162" s="43"/>
      <c r="J162" s="41"/>
      <c r="K162" s="41"/>
      <c r="L162" s="41" t="s">
        <v>431</v>
      </c>
      <c r="M162" s="41">
        <v>50935</v>
      </c>
      <c r="N162" s="41" t="s">
        <v>518</v>
      </c>
      <c r="O162" s="41" t="s">
        <v>235</v>
      </c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  <c r="AC162" s="41"/>
      <c r="AD162" s="41"/>
      <c r="AE162" s="41"/>
      <c r="AF162" s="41"/>
      <c r="AG162" s="42"/>
      <c r="AH162" s="41"/>
      <c r="AI162" s="41"/>
      <c r="AJ162" s="41"/>
      <c r="AK162" s="41"/>
      <c r="AL162" s="41"/>
      <c r="AM162" s="41"/>
      <c r="AN162" s="41"/>
      <c r="AO162" s="41"/>
      <c r="AP162" s="41"/>
      <c r="AQ162" s="41"/>
      <c r="AR162" s="41"/>
      <c r="AS162" s="41"/>
      <c r="AT162" s="41"/>
      <c r="AU162" s="41"/>
      <c r="AV162" s="41"/>
      <c r="AW162" s="41"/>
      <c r="AX162" s="41"/>
      <c r="AY162" s="41"/>
      <c r="AZ162" s="41"/>
      <c r="BA162" s="41"/>
      <c r="BB162" s="41"/>
      <c r="BC162" s="41"/>
      <c r="BD162" s="42"/>
      <c r="BE162" s="41"/>
      <c r="BF162" s="41"/>
      <c r="BG162" s="41"/>
      <c r="BH162" s="42"/>
      <c r="BI162" s="41"/>
      <c r="BJ162" s="41"/>
    </row>
    <row r="163" spans="1:62" s="38" customFormat="1" x14ac:dyDescent="0.25">
      <c r="A163" s="41"/>
      <c r="B163" s="41" t="s">
        <v>519</v>
      </c>
      <c r="C163" s="41" t="s">
        <v>520</v>
      </c>
      <c r="D163" s="41"/>
      <c r="E163" s="41" t="s">
        <v>17</v>
      </c>
      <c r="F163" s="41">
        <v>2025</v>
      </c>
      <c r="G163" s="41" t="s">
        <v>1346</v>
      </c>
      <c r="H163" s="41"/>
      <c r="I163" s="43"/>
      <c r="J163" s="41"/>
      <c r="K163" s="41"/>
      <c r="L163" s="41" t="s">
        <v>73</v>
      </c>
      <c r="M163" s="41">
        <v>100987</v>
      </c>
      <c r="N163" s="41" t="s">
        <v>521</v>
      </c>
      <c r="O163" s="41" t="s">
        <v>272</v>
      </c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  <c r="AC163" s="41"/>
      <c r="AD163" s="41"/>
      <c r="AE163" s="41"/>
      <c r="AF163" s="41"/>
      <c r="AG163" s="42"/>
      <c r="AH163" s="41"/>
      <c r="AI163" s="41"/>
      <c r="AJ163" s="41"/>
      <c r="AK163" s="41"/>
      <c r="AL163" s="41"/>
      <c r="AM163" s="41"/>
      <c r="AN163" s="41"/>
      <c r="AO163" s="41"/>
      <c r="AP163" s="41"/>
      <c r="AQ163" s="41"/>
      <c r="AR163" s="41"/>
      <c r="AS163" s="41"/>
      <c r="AT163" s="41"/>
      <c r="AU163" s="41"/>
      <c r="AV163" s="41"/>
      <c r="AW163" s="41"/>
      <c r="AX163" s="41"/>
      <c r="AY163" s="41"/>
      <c r="AZ163" s="41"/>
      <c r="BA163" s="41"/>
      <c r="BB163" s="41"/>
      <c r="BC163" s="41"/>
      <c r="BD163" s="42"/>
      <c r="BE163" s="41"/>
      <c r="BF163" s="41"/>
      <c r="BG163" s="41"/>
      <c r="BH163" s="42"/>
      <c r="BI163" s="41"/>
      <c r="BJ163" s="41"/>
    </row>
    <row r="164" spans="1:62" s="38" customFormat="1" x14ac:dyDescent="0.25">
      <c r="A164" s="41"/>
      <c r="B164" s="41" t="s">
        <v>522</v>
      </c>
      <c r="C164" s="41" t="s">
        <v>523</v>
      </c>
      <c r="D164" s="41"/>
      <c r="E164" s="41" t="s">
        <v>17</v>
      </c>
      <c r="F164" s="41">
        <v>2025</v>
      </c>
      <c r="G164" s="41" t="s">
        <v>1346</v>
      </c>
      <c r="H164" s="41"/>
      <c r="I164" s="43"/>
      <c r="J164" s="41"/>
      <c r="K164" s="41"/>
      <c r="L164" s="41" t="s">
        <v>73</v>
      </c>
      <c r="M164" s="41">
        <v>100958</v>
      </c>
      <c r="N164" s="41" t="s">
        <v>524</v>
      </c>
      <c r="O164" s="41" t="s">
        <v>111</v>
      </c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  <c r="AC164" s="41"/>
      <c r="AD164" s="41"/>
      <c r="AE164" s="41"/>
      <c r="AF164" s="41"/>
      <c r="AG164" s="42"/>
      <c r="AH164" s="41"/>
      <c r="AI164" s="41"/>
      <c r="AJ164" s="41"/>
      <c r="AK164" s="41"/>
      <c r="AL164" s="41"/>
      <c r="AM164" s="41"/>
      <c r="AN164" s="41"/>
      <c r="AO164" s="41"/>
      <c r="AP164" s="41"/>
      <c r="AQ164" s="41"/>
      <c r="AR164" s="41"/>
      <c r="AS164" s="41"/>
      <c r="AT164" s="41"/>
      <c r="AU164" s="41"/>
      <c r="AV164" s="41"/>
      <c r="AW164" s="41"/>
      <c r="AX164" s="41"/>
      <c r="AY164" s="41"/>
      <c r="AZ164" s="41"/>
      <c r="BA164" s="41"/>
      <c r="BB164" s="41"/>
      <c r="BC164" s="41"/>
      <c r="BD164" s="42"/>
      <c r="BE164" s="41"/>
      <c r="BF164" s="41"/>
      <c r="BG164" s="41"/>
      <c r="BH164" s="42"/>
      <c r="BI164" s="41"/>
      <c r="BJ164" s="41"/>
    </row>
    <row r="165" spans="1:62" s="38" customFormat="1" x14ac:dyDescent="0.25">
      <c r="A165" s="41"/>
      <c r="B165" s="41" t="s">
        <v>90</v>
      </c>
      <c r="C165" s="41" t="s">
        <v>525</v>
      </c>
      <c r="D165" s="41"/>
      <c r="E165" s="41" t="s">
        <v>17</v>
      </c>
      <c r="F165" s="41">
        <v>2025</v>
      </c>
      <c r="G165" s="41" t="s">
        <v>1346</v>
      </c>
      <c r="H165" s="41"/>
      <c r="I165" s="43"/>
      <c r="J165" s="41"/>
      <c r="K165" s="41"/>
      <c r="L165" s="41" t="s">
        <v>77</v>
      </c>
      <c r="M165" s="41">
        <v>100985</v>
      </c>
      <c r="N165" s="41" t="s">
        <v>526</v>
      </c>
      <c r="O165" s="41" t="s">
        <v>258</v>
      </c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  <c r="AB165" s="41"/>
      <c r="AC165" s="41"/>
      <c r="AD165" s="41"/>
      <c r="AE165" s="41"/>
      <c r="AF165" s="41"/>
      <c r="AG165" s="42"/>
      <c r="AH165" s="41"/>
      <c r="AI165" s="41"/>
      <c r="AJ165" s="41"/>
      <c r="AK165" s="41"/>
      <c r="AL165" s="41"/>
      <c r="AM165" s="41"/>
      <c r="AN165" s="41"/>
      <c r="AO165" s="41"/>
      <c r="AP165" s="41"/>
      <c r="AQ165" s="41"/>
      <c r="AR165" s="41"/>
      <c r="AS165" s="41"/>
      <c r="AT165" s="41"/>
      <c r="AU165" s="41"/>
      <c r="AV165" s="41"/>
      <c r="AW165" s="41"/>
      <c r="AX165" s="41"/>
      <c r="AY165" s="41"/>
      <c r="AZ165" s="41"/>
      <c r="BA165" s="41"/>
      <c r="BB165" s="41"/>
      <c r="BC165" s="41"/>
      <c r="BD165" s="42"/>
      <c r="BE165" s="41"/>
      <c r="BF165" s="41"/>
      <c r="BG165" s="41"/>
      <c r="BH165" s="42"/>
      <c r="BI165" s="41"/>
      <c r="BJ165" s="41"/>
    </row>
    <row r="166" spans="1:62" s="38" customFormat="1" x14ac:dyDescent="0.25">
      <c r="A166" s="41"/>
      <c r="B166" s="41" t="s">
        <v>527</v>
      </c>
      <c r="C166" s="41" t="s">
        <v>528</v>
      </c>
      <c r="D166" s="41"/>
      <c r="E166" s="41" t="s">
        <v>17</v>
      </c>
      <c r="F166" s="41">
        <v>2025</v>
      </c>
      <c r="G166" s="41" t="s">
        <v>1346</v>
      </c>
      <c r="H166" s="41"/>
      <c r="I166" s="43"/>
      <c r="J166" s="41"/>
      <c r="K166" s="41"/>
      <c r="L166" s="41" t="s">
        <v>268</v>
      </c>
      <c r="M166" s="41">
        <v>100964</v>
      </c>
      <c r="N166" s="41" t="s">
        <v>529</v>
      </c>
      <c r="O166" s="41" t="s">
        <v>272</v>
      </c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  <c r="AC166" s="41"/>
      <c r="AD166" s="41"/>
      <c r="AE166" s="41"/>
      <c r="AF166" s="41"/>
      <c r="AG166" s="42"/>
      <c r="AH166" s="41"/>
      <c r="AI166" s="41"/>
      <c r="AJ166" s="41"/>
      <c r="AK166" s="41"/>
      <c r="AL166" s="41"/>
      <c r="AM166" s="41"/>
      <c r="AN166" s="41"/>
      <c r="AO166" s="41"/>
      <c r="AP166" s="41"/>
      <c r="AQ166" s="41"/>
      <c r="AR166" s="41"/>
      <c r="AS166" s="41"/>
      <c r="AT166" s="41"/>
      <c r="AU166" s="41"/>
      <c r="AV166" s="41"/>
      <c r="AW166" s="41"/>
      <c r="AX166" s="41"/>
      <c r="AY166" s="41"/>
      <c r="AZ166" s="41"/>
      <c r="BA166" s="41"/>
      <c r="BB166" s="41"/>
      <c r="BC166" s="41"/>
      <c r="BD166" s="42"/>
      <c r="BE166" s="41"/>
      <c r="BF166" s="41"/>
      <c r="BG166" s="41"/>
      <c r="BH166" s="42"/>
      <c r="BI166" s="41"/>
      <c r="BJ166" s="41"/>
    </row>
    <row r="167" spans="1:62" s="38" customFormat="1" x14ac:dyDescent="0.25">
      <c r="A167" s="41"/>
      <c r="B167" s="41" t="s">
        <v>530</v>
      </c>
      <c r="C167" s="41" t="s">
        <v>531</v>
      </c>
      <c r="D167" s="41"/>
      <c r="E167" s="41" t="s">
        <v>17</v>
      </c>
      <c r="F167" s="41">
        <v>2025</v>
      </c>
      <c r="G167" s="41" t="s">
        <v>1346</v>
      </c>
      <c r="H167" s="41"/>
      <c r="I167" s="43"/>
      <c r="J167" s="41"/>
      <c r="K167" s="41"/>
      <c r="L167" s="41" t="s">
        <v>73</v>
      </c>
      <c r="M167" s="41">
        <v>100916</v>
      </c>
      <c r="N167" s="41" t="s">
        <v>532</v>
      </c>
      <c r="O167" s="41" t="s">
        <v>111</v>
      </c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  <c r="AC167" s="41"/>
      <c r="AD167" s="41"/>
      <c r="AE167" s="41"/>
      <c r="AF167" s="41"/>
      <c r="AG167" s="42"/>
      <c r="AH167" s="41"/>
      <c r="AI167" s="41"/>
      <c r="AJ167" s="41"/>
      <c r="AK167" s="41"/>
      <c r="AL167" s="41"/>
      <c r="AM167" s="41"/>
      <c r="AN167" s="41"/>
      <c r="AO167" s="41"/>
      <c r="AP167" s="41"/>
      <c r="AQ167" s="41"/>
      <c r="AR167" s="41"/>
      <c r="AS167" s="41"/>
      <c r="AT167" s="41"/>
      <c r="AU167" s="41"/>
      <c r="AV167" s="41"/>
      <c r="AW167" s="41"/>
      <c r="AX167" s="41"/>
      <c r="AY167" s="41"/>
      <c r="AZ167" s="41"/>
      <c r="BA167" s="41"/>
      <c r="BB167" s="41"/>
      <c r="BC167" s="41"/>
      <c r="BD167" s="42"/>
      <c r="BE167" s="41"/>
      <c r="BF167" s="41"/>
      <c r="BG167" s="41"/>
      <c r="BH167" s="42"/>
      <c r="BI167" s="41"/>
      <c r="BJ167" s="41"/>
    </row>
    <row r="168" spans="1:62" s="38" customFormat="1" x14ac:dyDescent="0.25">
      <c r="A168" s="41"/>
      <c r="B168" s="41" t="s">
        <v>533</v>
      </c>
      <c r="C168" s="41" t="s">
        <v>534</v>
      </c>
      <c r="D168" s="41"/>
      <c r="E168" s="41" t="s">
        <v>17</v>
      </c>
      <c r="F168" s="41">
        <v>2025</v>
      </c>
      <c r="G168" s="41" t="s">
        <v>1346</v>
      </c>
      <c r="H168" s="41"/>
      <c r="I168" s="43"/>
      <c r="J168" s="41"/>
      <c r="K168" s="41"/>
      <c r="L168" s="41" t="s">
        <v>77</v>
      </c>
      <c r="M168" s="41">
        <v>50947</v>
      </c>
      <c r="N168" s="41" t="s">
        <v>535</v>
      </c>
      <c r="O168" s="41" t="s">
        <v>266</v>
      </c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  <c r="AC168" s="41"/>
      <c r="AD168" s="41"/>
      <c r="AE168" s="41"/>
      <c r="AF168" s="41"/>
      <c r="AG168" s="42"/>
      <c r="AH168" s="41"/>
      <c r="AI168" s="41"/>
      <c r="AJ168" s="41"/>
      <c r="AK168" s="41"/>
      <c r="AL168" s="41"/>
      <c r="AM168" s="41"/>
      <c r="AN168" s="41"/>
      <c r="AO168" s="41"/>
      <c r="AP168" s="41"/>
      <c r="AQ168" s="41"/>
      <c r="AR168" s="41"/>
      <c r="AS168" s="41"/>
      <c r="AT168" s="41"/>
      <c r="AU168" s="41"/>
      <c r="AV168" s="41"/>
      <c r="AW168" s="41"/>
      <c r="AX168" s="41"/>
      <c r="AY168" s="41"/>
      <c r="AZ168" s="41"/>
      <c r="BA168" s="41"/>
      <c r="BB168" s="41"/>
      <c r="BC168" s="41"/>
      <c r="BD168" s="42"/>
      <c r="BE168" s="41"/>
      <c r="BF168" s="41"/>
      <c r="BG168" s="41"/>
      <c r="BH168" s="42"/>
      <c r="BI168" s="41"/>
      <c r="BJ168" s="41"/>
    </row>
    <row r="169" spans="1:62" s="38" customFormat="1" x14ac:dyDescent="0.25">
      <c r="A169" s="41"/>
      <c r="B169" s="41" t="s">
        <v>376</v>
      </c>
      <c r="C169" s="41" t="s">
        <v>536</v>
      </c>
      <c r="D169" s="41"/>
      <c r="E169" s="41" t="s">
        <v>17</v>
      </c>
      <c r="F169" s="41">
        <v>2025</v>
      </c>
      <c r="G169" s="41" t="s">
        <v>1346</v>
      </c>
      <c r="H169" s="41"/>
      <c r="I169" s="43"/>
      <c r="J169" s="41"/>
      <c r="K169" s="41"/>
      <c r="L169" s="41" t="s">
        <v>73</v>
      </c>
      <c r="M169" s="41">
        <v>50904</v>
      </c>
      <c r="N169" s="41" t="s">
        <v>537</v>
      </c>
      <c r="O169" s="41" t="s">
        <v>111</v>
      </c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  <c r="AC169" s="41"/>
      <c r="AD169" s="41"/>
      <c r="AE169" s="41"/>
      <c r="AF169" s="41"/>
      <c r="AG169" s="42"/>
      <c r="AH169" s="41"/>
      <c r="AI169" s="41"/>
      <c r="AJ169" s="41"/>
      <c r="AK169" s="41"/>
      <c r="AL169" s="41"/>
      <c r="AM169" s="41"/>
      <c r="AN169" s="41"/>
      <c r="AO169" s="41"/>
      <c r="AP169" s="41"/>
      <c r="AQ169" s="41"/>
      <c r="AR169" s="41"/>
      <c r="AS169" s="41"/>
      <c r="AT169" s="41"/>
      <c r="AU169" s="41"/>
      <c r="AV169" s="41"/>
      <c r="AW169" s="41"/>
      <c r="AX169" s="41"/>
      <c r="AY169" s="41"/>
      <c r="AZ169" s="41"/>
      <c r="BA169" s="41"/>
      <c r="BB169" s="41"/>
      <c r="BC169" s="41"/>
      <c r="BD169" s="42"/>
      <c r="BE169" s="41"/>
      <c r="BF169" s="41"/>
      <c r="BG169" s="41"/>
      <c r="BH169" s="42"/>
      <c r="BI169" s="41"/>
      <c r="BJ169" s="41"/>
    </row>
    <row r="170" spans="1:62" s="38" customFormat="1" x14ac:dyDescent="0.25">
      <c r="A170" s="41"/>
      <c r="B170" s="41" t="s">
        <v>90</v>
      </c>
      <c r="C170" s="41" t="s">
        <v>538</v>
      </c>
      <c r="D170" s="41"/>
      <c r="E170" s="41" t="s">
        <v>17</v>
      </c>
      <c r="F170" s="41">
        <v>2025</v>
      </c>
      <c r="G170" s="41" t="s">
        <v>1346</v>
      </c>
      <c r="H170" s="41"/>
      <c r="I170" s="43"/>
      <c r="J170" s="41"/>
      <c r="K170" s="41"/>
      <c r="L170" s="41" t="s">
        <v>77</v>
      </c>
      <c r="M170" s="41">
        <v>50913</v>
      </c>
      <c r="N170" s="41" t="s">
        <v>539</v>
      </c>
      <c r="O170" s="41" t="s">
        <v>258</v>
      </c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  <c r="AC170" s="41"/>
      <c r="AD170" s="41"/>
      <c r="AE170" s="41"/>
      <c r="AF170" s="41"/>
      <c r="AG170" s="42"/>
      <c r="AH170" s="41"/>
      <c r="AI170" s="41"/>
      <c r="AJ170" s="41"/>
      <c r="AK170" s="41"/>
      <c r="AL170" s="41"/>
      <c r="AM170" s="41"/>
      <c r="AN170" s="41"/>
      <c r="AO170" s="41"/>
      <c r="AP170" s="41"/>
      <c r="AQ170" s="41"/>
      <c r="AR170" s="41"/>
      <c r="AS170" s="41"/>
      <c r="AT170" s="41"/>
      <c r="AU170" s="41"/>
      <c r="AV170" s="41"/>
      <c r="AW170" s="41"/>
      <c r="AX170" s="41"/>
      <c r="AY170" s="41"/>
      <c r="AZ170" s="41"/>
      <c r="BA170" s="41"/>
      <c r="BB170" s="41"/>
      <c r="BC170" s="41"/>
      <c r="BD170" s="42"/>
      <c r="BE170" s="41"/>
      <c r="BF170" s="41"/>
      <c r="BG170" s="41"/>
      <c r="BH170" s="42"/>
      <c r="BI170" s="41"/>
      <c r="BJ170" s="41"/>
    </row>
    <row r="171" spans="1:62" s="38" customFormat="1" x14ac:dyDescent="0.25">
      <c r="A171" s="41"/>
      <c r="B171" s="41" t="s">
        <v>540</v>
      </c>
      <c r="C171" s="41" t="s">
        <v>541</v>
      </c>
      <c r="D171" s="41"/>
      <c r="E171" s="41" t="s">
        <v>17</v>
      </c>
      <c r="F171" s="41">
        <v>2025</v>
      </c>
      <c r="G171" s="41" t="s">
        <v>1346</v>
      </c>
      <c r="H171" s="41"/>
      <c r="I171" s="43"/>
      <c r="J171" s="41"/>
      <c r="K171" s="41"/>
      <c r="L171" s="41" t="s">
        <v>73</v>
      </c>
      <c r="M171" s="41">
        <v>50989</v>
      </c>
      <c r="N171" s="41" t="s">
        <v>542</v>
      </c>
      <c r="O171" s="41" t="s">
        <v>235</v>
      </c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1"/>
      <c r="AC171" s="41"/>
      <c r="AD171" s="41"/>
      <c r="AE171" s="41"/>
      <c r="AF171" s="41"/>
      <c r="AG171" s="42"/>
      <c r="AH171" s="41"/>
      <c r="AI171" s="41"/>
      <c r="AJ171" s="41"/>
      <c r="AK171" s="41"/>
      <c r="AL171" s="41"/>
      <c r="AM171" s="41"/>
      <c r="AN171" s="41"/>
      <c r="AO171" s="41"/>
      <c r="AP171" s="41"/>
      <c r="AQ171" s="41"/>
      <c r="AR171" s="41"/>
      <c r="AS171" s="41"/>
      <c r="AT171" s="41"/>
      <c r="AU171" s="41"/>
      <c r="AV171" s="41"/>
      <c r="AW171" s="41"/>
      <c r="AX171" s="41"/>
      <c r="AY171" s="41"/>
      <c r="AZ171" s="41"/>
      <c r="BA171" s="41"/>
      <c r="BB171" s="41"/>
      <c r="BC171" s="41"/>
      <c r="BD171" s="42"/>
      <c r="BE171" s="41"/>
      <c r="BF171" s="41"/>
      <c r="BG171" s="41"/>
      <c r="BH171" s="42"/>
      <c r="BI171" s="41"/>
      <c r="BJ171" s="41"/>
    </row>
    <row r="172" spans="1:62" s="38" customFormat="1" x14ac:dyDescent="0.25">
      <c r="A172" s="41"/>
      <c r="B172" s="41" t="s">
        <v>543</v>
      </c>
      <c r="C172" s="41" t="s">
        <v>544</v>
      </c>
      <c r="D172" s="41"/>
      <c r="E172" s="41" t="s">
        <v>17</v>
      </c>
      <c r="F172" s="41">
        <v>2025</v>
      </c>
      <c r="G172" s="41" t="s">
        <v>1346</v>
      </c>
      <c r="H172" s="41"/>
      <c r="I172" s="43"/>
      <c r="J172" s="41"/>
      <c r="K172" s="41"/>
      <c r="L172" s="41" t="s">
        <v>73</v>
      </c>
      <c r="M172" s="41">
        <v>100986</v>
      </c>
      <c r="N172" s="41" t="s">
        <v>545</v>
      </c>
      <c r="O172" s="41" t="s">
        <v>504</v>
      </c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1"/>
      <c r="AC172" s="41"/>
      <c r="AD172" s="41"/>
      <c r="AE172" s="41"/>
      <c r="AF172" s="41"/>
      <c r="AG172" s="42"/>
      <c r="AH172" s="41"/>
      <c r="AI172" s="41"/>
      <c r="AJ172" s="41"/>
      <c r="AK172" s="41"/>
      <c r="AL172" s="41"/>
      <c r="AM172" s="41"/>
      <c r="AN172" s="41"/>
      <c r="AO172" s="41"/>
      <c r="AP172" s="41"/>
      <c r="AQ172" s="41"/>
      <c r="AR172" s="41"/>
      <c r="AS172" s="41"/>
      <c r="AT172" s="41"/>
      <c r="AU172" s="41"/>
      <c r="AV172" s="41"/>
      <c r="AW172" s="41"/>
      <c r="AX172" s="41"/>
      <c r="AY172" s="41"/>
      <c r="AZ172" s="41"/>
      <c r="BA172" s="41"/>
      <c r="BB172" s="41"/>
      <c r="BC172" s="41"/>
      <c r="BD172" s="42"/>
      <c r="BE172" s="41"/>
      <c r="BF172" s="41"/>
      <c r="BG172" s="41"/>
      <c r="BH172" s="42"/>
      <c r="BI172" s="41"/>
      <c r="BJ172" s="41"/>
    </row>
    <row r="173" spans="1:62" s="38" customFormat="1" x14ac:dyDescent="0.25">
      <c r="A173" s="41"/>
      <c r="B173" s="41" t="s">
        <v>546</v>
      </c>
      <c r="C173" s="41" t="s">
        <v>547</v>
      </c>
      <c r="D173" s="41"/>
      <c r="E173" s="41" t="s">
        <v>17</v>
      </c>
      <c r="F173" s="41">
        <v>2025</v>
      </c>
      <c r="G173" s="41" t="s">
        <v>1346</v>
      </c>
      <c r="H173" s="41"/>
      <c r="I173" s="43"/>
      <c r="J173" s="41"/>
      <c r="K173" s="41"/>
      <c r="L173" s="41" t="s">
        <v>77</v>
      </c>
      <c r="M173" s="41">
        <v>50935</v>
      </c>
      <c r="N173" s="41" t="s">
        <v>548</v>
      </c>
      <c r="O173" s="41" t="s">
        <v>146</v>
      </c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  <c r="AC173" s="41"/>
      <c r="AD173" s="41"/>
      <c r="AE173" s="41"/>
      <c r="AF173" s="41"/>
      <c r="AG173" s="42"/>
      <c r="AH173" s="41"/>
      <c r="AI173" s="41"/>
      <c r="AJ173" s="41"/>
      <c r="AK173" s="41"/>
      <c r="AL173" s="41"/>
      <c r="AM173" s="41"/>
      <c r="AN173" s="41"/>
      <c r="AO173" s="41"/>
      <c r="AP173" s="41"/>
      <c r="AQ173" s="41"/>
      <c r="AR173" s="41"/>
      <c r="AS173" s="41"/>
      <c r="AT173" s="41"/>
      <c r="AU173" s="41"/>
      <c r="AV173" s="41"/>
      <c r="AW173" s="41"/>
      <c r="AX173" s="41"/>
      <c r="AY173" s="41"/>
      <c r="AZ173" s="41"/>
      <c r="BA173" s="41"/>
      <c r="BB173" s="41"/>
      <c r="BC173" s="41"/>
      <c r="BD173" s="42"/>
      <c r="BE173" s="41"/>
      <c r="BF173" s="41"/>
      <c r="BG173" s="41"/>
      <c r="BH173" s="42"/>
      <c r="BI173" s="41"/>
      <c r="BJ173" s="41"/>
    </row>
    <row r="174" spans="1:62" s="38" customFormat="1" x14ac:dyDescent="0.25">
      <c r="A174" s="41"/>
      <c r="B174" s="41" t="s">
        <v>549</v>
      </c>
      <c r="C174" s="41" t="s">
        <v>550</v>
      </c>
      <c r="D174" s="41"/>
      <c r="E174" s="41" t="s">
        <v>17</v>
      </c>
      <c r="F174" s="41">
        <v>2025</v>
      </c>
      <c r="G174" s="41" t="s">
        <v>1346</v>
      </c>
      <c r="H174" s="41"/>
      <c r="I174" s="43"/>
      <c r="J174" s="41"/>
      <c r="K174" s="41"/>
      <c r="L174" s="41" t="s">
        <v>73</v>
      </c>
      <c r="M174" s="41">
        <v>100996</v>
      </c>
      <c r="N174" s="41" t="s">
        <v>551</v>
      </c>
      <c r="O174" s="41" t="s">
        <v>111</v>
      </c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1"/>
      <c r="AC174" s="41"/>
      <c r="AD174" s="41"/>
      <c r="AE174" s="41"/>
      <c r="AF174" s="41"/>
      <c r="AG174" s="42"/>
      <c r="AH174" s="41"/>
      <c r="AI174" s="41"/>
      <c r="AJ174" s="41"/>
      <c r="AK174" s="41"/>
      <c r="AL174" s="41"/>
      <c r="AM174" s="41"/>
      <c r="AN174" s="41"/>
      <c r="AO174" s="41"/>
      <c r="AP174" s="41"/>
      <c r="AQ174" s="41"/>
      <c r="AR174" s="41"/>
      <c r="AS174" s="41"/>
      <c r="AT174" s="41"/>
      <c r="AU174" s="41"/>
      <c r="AV174" s="41"/>
      <c r="AW174" s="41"/>
      <c r="AX174" s="41"/>
      <c r="AY174" s="41"/>
      <c r="AZ174" s="41"/>
      <c r="BA174" s="41"/>
      <c r="BB174" s="41"/>
      <c r="BC174" s="41"/>
      <c r="BD174" s="42"/>
      <c r="BE174" s="41"/>
      <c r="BF174" s="41"/>
      <c r="BG174" s="41"/>
      <c r="BH174" s="42"/>
      <c r="BI174" s="41"/>
      <c r="BJ174" s="41"/>
    </row>
    <row r="175" spans="1:62" s="38" customFormat="1" x14ac:dyDescent="0.25">
      <c r="A175" s="41"/>
      <c r="B175" s="41" t="s">
        <v>552</v>
      </c>
      <c r="C175" s="41" t="s">
        <v>553</v>
      </c>
      <c r="D175" s="41"/>
      <c r="E175" s="41" t="s">
        <v>17</v>
      </c>
      <c r="F175" s="41">
        <v>2025</v>
      </c>
      <c r="G175" s="41" t="s">
        <v>1346</v>
      </c>
      <c r="H175" s="41"/>
      <c r="I175" s="43"/>
      <c r="J175" s="41"/>
      <c r="K175" s="41"/>
      <c r="L175" s="41" t="s">
        <v>77</v>
      </c>
      <c r="M175" s="41">
        <v>100901</v>
      </c>
      <c r="N175" s="41" t="s">
        <v>554</v>
      </c>
      <c r="O175" s="41" t="s">
        <v>266</v>
      </c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  <c r="AB175" s="41"/>
      <c r="AC175" s="41"/>
      <c r="AD175" s="41"/>
      <c r="AE175" s="41"/>
      <c r="AF175" s="41"/>
      <c r="AG175" s="42"/>
      <c r="AH175" s="41"/>
      <c r="AI175" s="41"/>
      <c r="AJ175" s="41"/>
      <c r="AK175" s="41"/>
      <c r="AL175" s="41"/>
      <c r="AM175" s="41"/>
      <c r="AN175" s="41"/>
      <c r="AO175" s="41"/>
      <c r="AP175" s="41"/>
      <c r="AQ175" s="41"/>
      <c r="AR175" s="41"/>
      <c r="AS175" s="41"/>
      <c r="AT175" s="41"/>
      <c r="AU175" s="41"/>
      <c r="AV175" s="41"/>
      <c r="AW175" s="41"/>
      <c r="AX175" s="41"/>
      <c r="AY175" s="41"/>
      <c r="AZ175" s="41"/>
      <c r="BA175" s="41"/>
      <c r="BB175" s="41"/>
      <c r="BC175" s="41"/>
      <c r="BD175" s="42"/>
      <c r="BE175" s="41"/>
      <c r="BF175" s="41"/>
      <c r="BG175" s="41"/>
      <c r="BH175" s="42"/>
      <c r="BI175" s="41"/>
      <c r="BJ175" s="41"/>
    </row>
    <row r="176" spans="1:62" s="38" customFormat="1" x14ac:dyDescent="0.25">
      <c r="A176" s="41"/>
      <c r="B176" s="41" t="s">
        <v>555</v>
      </c>
      <c r="C176" s="41" t="s">
        <v>556</v>
      </c>
      <c r="D176" s="41"/>
      <c r="E176" s="41" t="s">
        <v>17</v>
      </c>
      <c r="F176" s="41">
        <v>2025</v>
      </c>
      <c r="G176" s="41" t="s">
        <v>1346</v>
      </c>
      <c r="H176" s="41"/>
      <c r="I176" s="43"/>
      <c r="J176" s="41"/>
      <c r="K176" s="41"/>
      <c r="L176" s="41" t="s">
        <v>73</v>
      </c>
      <c r="M176" s="41">
        <v>50957</v>
      </c>
      <c r="N176" s="41" t="s">
        <v>557</v>
      </c>
      <c r="O176" s="41" t="s">
        <v>146</v>
      </c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  <c r="AC176" s="41"/>
      <c r="AD176" s="41"/>
      <c r="AE176" s="41"/>
      <c r="AF176" s="41"/>
      <c r="AG176" s="42"/>
      <c r="AH176" s="41"/>
      <c r="AI176" s="41"/>
      <c r="AJ176" s="41"/>
      <c r="AK176" s="41"/>
      <c r="AL176" s="41"/>
      <c r="AM176" s="41"/>
      <c r="AN176" s="41"/>
      <c r="AO176" s="41"/>
      <c r="AP176" s="41"/>
      <c r="AQ176" s="41"/>
      <c r="AR176" s="41"/>
      <c r="AS176" s="41"/>
      <c r="AT176" s="41"/>
      <c r="AU176" s="41"/>
      <c r="AV176" s="41"/>
      <c r="AW176" s="41"/>
      <c r="AX176" s="41"/>
      <c r="AY176" s="41"/>
      <c r="AZ176" s="41"/>
      <c r="BA176" s="41"/>
      <c r="BB176" s="41"/>
      <c r="BC176" s="41"/>
      <c r="BD176" s="42"/>
      <c r="BE176" s="41"/>
      <c r="BF176" s="41"/>
      <c r="BG176" s="41"/>
      <c r="BH176" s="42"/>
      <c r="BI176" s="41"/>
      <c r="BJ176" s="41"/>
    </row>
    <row r="177" spans="1:62" s="38" customFormat="1" x14ac:dyDescent="0.25">
      <c r="A177" s="41"/>
      <c r="B177" s="41" t="s">
        <v>558</v>
      </c>
      <c r="C177" s="41" t="s">
        <v>559</v>
      </c>
      <c r="D177" s="41"/>
      <c r="E177" s="41" t="s">
        <v>17</v>
      </c>
      <c r="F177" s="41">
        <v>2025</v>
      </c>
      <c r="G177" s="41" t="s">
        <v>1346</v>
      </c>
      <c r="H177" s="41"/>
      <c r="I177" s="43"/>
      <c r="J177" s="41"/>
      <c r="K177" s="41"/>
      <c r="L177" s="41" t="s">
        <v>77</v>
      </c>
      <c r="M177" s="41">
        <v>50980</v>
      </c>
      <c r="N177" s="41" t="s">
        <v>560</v>
      </c>
      <c r="O177" s="41" t="s">
        <v>235</v>
      </c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1"/>
      <c r="AC177" s="41"/>
      <c r="AD177" s="41"/>
      <c r="AE177" s="41"/>
      <c r="AF177" s="41"/>
      <c r="AG177" s="42"/>
      <c r="AH177" s="41"/>
      <c r="AI177" s="41"/>
      <c r="AJ177" s="41"/>
      <c r="AK177" s="41"/>
      <c r="AL177" s="41"/>
      <c r="AM177" s="41"/>
      <c r="AN177" s="41"/>
      <c r="AO177" s="41"/>
      <c r="AP177" s="41"/>
      <c r="AQ177" s="41"/>
      <c r="AR177" s="41"/>
      <c r="AS177" s="41"/>
      <c r="AT177" s="41"/>
      <c r="AU177" s="41"/>
      <c r="AV177" s="41"/>
      <c r="AW177" s="41"/>
      <c r="AX177" s="41"/>
      <c r="AY177" s="41"/>
      <c r="AZ177" s="41"/>
      <c r="BA177" s="41"/>
      <c r="BB177" s="41"/>
      <c r="BC177" s="41"/>
      <c r="BD177" s="42"/>
      <c r="BE177" s="41"/>
      <c r="BF177" s="41"/>
      <c r="BG177" s="41"/>
      <c r="BH177" s="42"/>
      <c r="BI177" s="41"/>
      <c r="BJ177" s="41"/>
    </row>
    <row r="178" spans="1:62" s="38" customFormat="1" x14ac:dyDescent="0.25">
      <c r="A178" s="41"/>
      <c r="B178" s="41" t="s">
        <v>561</v>
      </c>
      <c r="C178" s="41" t="s">
        <v>562</v>
      </c>
      <c r="D178" s="41"/>
      <c r="E178" s="41" t="s">
        <v>17</v>
      </c>
      <c r="F178" s="41">
        <v>2025</v>
      </c>
      <c r="G178" s="41" t="s">
        <v>1346</v>
      </c>
      <c r="H178" s="41"/>
      <c r="I178" s="43"/>
      <c r="J178" s="41"/>
      <c r="K178" s="41"/>
      <c r="L178" s="41" t="s">
        <v>77</v>
      </c>
      <c r="M178" s="41">
        <v>100985</v>
      </c>
      <c r="N178" s="41" t="s">
        <v>563</v>
      </c>
      <c r="O178" s="41" t="s">
        <v>67</v>
      </c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  <c r="AC178" s="41"/>
      <c r="AD178" s="41"/>
      <c r="AE178" s="41"/>
      <c r="AF178" s="41"/>
      <c r="AG178" s="42"/>
      <c r="AH178" s="41"/>
      <c r="AI178" s="41"/>
      <c r="AJ178" s="41"/>
      <c r="AK178" s="41"/>
      <c r="AL178" s="41"/>
      <c r="AM178" s="41"/>
      <c r="AN178" s="41"/>
      <c r="AO178" s="41"/>
      <c r="AP178" s="41"/>
      <c r="AQ178" s="41"/>
      <c r="AR178" s="41"/>
      <c r="AS178" s="41"/>
      <c r="AT178" s="41"/>
      <c r="AU178" s="41"/>
      <c r="AV178" s="41"/>
      <c r="AW178" s="41"/>
      <c r="AX178" s="41"/>
      <c r="AY178" s="41"/>
      <c r="AZ178" s="41"/>
      <c r="BA178" s="41"/>
      <c r="BB178" s="41"/>
      <c r="BC178" s="41"/>
      <c r="BD178" s="42"/>
      <c r="BE178" s="41"/>
      <c r="BF178" s="41"/>
      <c r="BG178" s="41"/>
      <c r="BH178" s="42"/>
      <c r="BI178" s="41"/>
      <c r="BJ178" s="41"/>
    </row>
    <row r="179" spans="1:62" s="38" customFormat="1" x14ac:dyDescent="0.25">
      <c r="A179" s="41"/>
      <c r="B179" s="41" t="s">
        <v>564</v>
      </c>
      <c r="C179" s="41" t="s">
        <v>565</v>
      </c>
      <c r="D179" s="41"/>
      <c r="E179" s="41" t="s">
        <v>17</v>
      </c>
      <c r="F179" s="41">
        <v>2025</v>
      </c>
      <c r="G179" s="41" t="s">
        <v>1346</v>
      </c>
      <c r="H179" s="41"/>
      <c r="I179" s="43"/>
      <c r="J179" s="41"/>
      <c r="K179" s="41"/>
      <c r="L179" s="41" t="s">
        <v>73</v>
      </c>
      <c r="M179" s="41">
        <v>50947</v>
      </c>
      <c r="N179" s="41" t="s">
        <v>566</v>
      </c>
      <c r="O179" s="41" t="s">
        <v>379</v>
      </c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  <c r="AC179" s="41"/>
      <c r="AD179" s="41"/>
      <c r="AE179" s="41"/>
      <c r="AF179" s="41"/>
      <c r="AG179" s="42"/>
      <c r="AH179" s="41"/>
      <c r="AI179" s="41"/>
      <c r="AJ179" s="41"/>
      <c r="AK179" s="41"/>
      <c r="AL179" s="41"/>
      <c r="AM179" s="41"/>
      <c r="AN179" s="41"/>
      <c r="AO179" s="41"/>
      <c r="AP179" s="41"/>
      <c r="AQ179" s="41"/>
      <c r="AR179" s="41"/>
      <c r="AS179" s="41"/>
      <c r="AT179" s="41"/>
      <c r="AU179" s="41"/>
      <c r="AV179" s="41"/>
      <c r="AW179" s="41"/>
      <c r="AX179" s="41"/>
      <c r="AY179" s="41"/>
      <c r="AZ179" s="41"/>
      <c r="BA179" s="41"/>
      <c r="BB179" s="41"/>
      <c r="BC179" s="41"/>
      <c r="BD179" s="42"/>
      <c r="BE179" s="41"/>
      <c r="BF179" s="41"/>
      <c r="BG179" s="41"/>
      <c r="BH179" s="42"/>
      <c r="BI179" s="41"/>
      <c r="BJ179" s="41"/>
    </row>
    <row r="180" spans="1:62" s="38" customFormat="1" x14ac:dyDescent="0.25">
      <c r="A180" s="41"/>
      <c r="B180" s="41" t="s">
        <v>567</v>
      </c>
      <c r="C180" s="41" t="s">
        <v>568</v>
      </c>
      <c r="D180" s="41"/>
      <c r="E180" s="41" t="s">
        <v>17</v>
      </c>
      <c r="F180" s="41">
        <v>2025</v>
      </c>
      <c r="G180" s="41" t="s">
        <v>1346</v>
      </c>
      <c r="H180" s="41"/>
      <c r="I180" s="43"/>
      <c r="J180" s="41"/>
      <c r="K180" s="41"/>
      <c r="L180" s="41" t="s">
        <v>268</v>
      </c>
      <c r="M180" s="41">
        <v>100931</v>
      </c>
      <c r="N180" s="41" t="s">
        <v>569</v>
      </c>
      <c r="O180" s="41" t="s">
        <v>146</v>
      </c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  <c r="AC180" s="41"/>
      <c r="AD180" s="41"/>
      <c r="AE180" s="41"/>
      <c r="AF180" s="41"/>
      <c r="AG180" s="42"/>
      <c r="AH180" s="41"/>
      <c r="AI180" s="41"/>
      <c r="AJ180" s="41"/>
      <c r="AK180" s="41"/>
      <c r="AL180" s="41"/>
      <c r="AM180" s="41"/>
      <c r="AN180" s="41"/>
      <c r="AO180" s="41"/>
      <c r="AP180" s="41"/>
      <c r="AQ180" s="41"/>
      <c r="AR180" s="41"/>
      <c r="AS180" s="41"/>
      <c r="AT180" s="41"/>
      <c r="AU180" s="41"/>
      <c r="AV180" s="41"/>
      <c r="AW180" s="41"/>
      <c r="AX180" s="41"/>
      <c r="AY180" s="41"/>
      <c r="AZ180" s="41"/>
      <c r="BA180" s="41"/>
      <c r="BB180" s="41"/>
      <c r="BC180" s="41"/>
      <c r="BD180" s="42"/>
      <c r="BE180" s="41"/>
      <c r="BF180" s="41"/>
      <c r="BG180" s="41"/>
      <c r="BH180" s="42"/>
      <c r="BI180" s="41"/>
      <c r="BJ180" s="41"/>
    </row>
    <row r="181" spans="1:62" s="38" customFormat="1" x14ac:dyDescent="0.25">
      <c r="A181" s="41"/>
      <c r="B181" s="41" t="s">
        <v>570</v>
      </c>
      <c r="C181" s="41" t="s">
        <v>571</v>
      </c>
      <c r="D181" s="41"/>
      <c r="E181" s="41" t="s">
        <v>17</v>
      </c>
      <c r="F181" s="41">
        <v>2025</v>
      </c>
      <c r="G181" s="41" t="s">
        <v>1346</v>
      </c>
      <c r="H181" s="41"/>
      <c r="I181" s="43"/>
      <c r="J181" s="41"/>
      <c r="K181" s="41"/>
      <c r="L181" s="41" t="s">
        <v>73</v>
      </c>
      <c r="M181" s="41">
        <v>100909</v>
      </c>
      <c r="N181" s="41" t="s">
        <v>572</v>
      </c>
      <c r="O181" s="41" t="s">
        <v>258</v>
      </c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  <c r="AB181" s="41"/>
      <c r="AC181" s="41"/>
      <c r="AD181" s="41"/>
      <c r="AE181" s="41"/>
      <c r="AF181" s="41"/>
      <c r="AG181" s="42"/>
      <c r="AH181" s="41"/>
      <c r="AI181" s="41"/>
      <c r="AJ181" s="41"/>
      <c r="AK181" s="41"/>
      <c r="AL181" s="41"/>
      <c r="AM181" s="41"/>
      <c r="AN181" s="41"/>
      <c r="AO181" s="41"/>
      <c r="AP181" s="41"/>
      <c r="AQ181" s="41"/>
      <c r="AR181" s="41"/>
      <c r="AS181" s="41"/>
      <c r="AT181" s="41"/>
      <c r="AU181" s="41"/>
      <c r="AV181" s="41"/>
      <c r="AW181" s="41"/>
      <c r="AX181" s="41"/>
      <c r="AY181" s="41"/>
      <c r="AZ181" s="41"/>
      <c r="BA181" s="41"/>
      <c r="BB181" s="41"/>
      <c r="BC181" s="41"/>
      <c r="BD181" s="42"/>
      <c r="BE181" s="41"/>
      <c r="BF181" s="41"/>
      <c r="BG181" s="41"/>
      <c r="BH181" s="42"/>
      <c r="BI181" s="41"/>
      <c r="BJ181" s="41"/>
    </row>
    <row r="182" spans="1:62" s="38" customFormat="1" x14ac:dyDescent="0.25">
      <c r="A182" s="41"/>
      <c r="B182" s="41" t="s">
        <v>573</v>
      </c>
      <c r="C182" s="41" t="s">
        <v>574</v>
      </c>
      <c r="D182" s="41"/>
      <c r="E182" s="41" t="s">
        <v>17</v>
      </c>
      <c r="F182" s="41">
        <v>2025</v>
      </c>
      <c r="G182" s="41" t="s">
        <v>1346</v>
      </c>
      <c r="H182" s="41"/>
      <c r="I182" s="43"/>
      <c r="J182" s="41"/>
      <c r="K182" s="41"/>
      <c r="L182" s="41" t="s">
        <v>77</v>
      </c>
      <c r="M182" s="41">
        <v>110000</v>
      </c>
      <c r="N182" s="41" t="s">
        <v>575</v>
      </c>
      <c r="O182" s="41" t="s">
        <v>67</v>
      </c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  <c r="AC182" s="41"/>
      <c r="AD182" s="41"/>
      <c r="AE182" s="41"/>
      <c r="AF182" s="41"/>
      <c r="AG182" s="42"/>
      <c r="AH182" s="41"/>
      <c r="AI182" s="41"/>
      <c r="AJ182" s="41"/>
      <c r="AK182" s="41"/>
      <c r="AL182" s="41"/>
      <c r="AM182" s="41"/>
      <c r="AN182" s="41"/>
      <c r="AO182" s="41"/>
      <c r="AP182" s="41"/>
      <c r="AQ182" s="41"/>
      <c r="AR182" s="41"/>
      <c r="AS182" s="41"/>
      <c r="AT182" s="41"/>
      <c r="AU182" s="41"/>
      <c r="AV182" s="41"/>
      <c r="AW182" s="41"/>
      <c r="AX182" s="41"/>
      <c r="AY182" s="41"/>
      <c r="AZ182" s="41"/>
      <c r="BA182" s="41"/>
      <c r="BB182" s="41"/>
      <c r="BC182" s="41"/>
      <c r="BD182" s="42"/>
      <c r="BE182" s="41"/>
      <c r="BF182" s="41"/>
      <c r="BG182" s="41"/>
      <c r="BH182" s="42"/>
      <c r="BI182" s="41"/>
      <c r="BJ182" s="41"/>
    </row>
    <row r="183" spans="1:62" s="38" customFormat="1" x14ac:dyDescent="0.25">
      <c r="A183" s="41"/>
      <c r="B183" s="41" t="s">
        <v>576</v>
      </c>
      <c r="C183" s="41" t="s">
        <v>577</v>
      </c>
      <c r="D183" s="41"/>
      <c r="E183" s="41" t="s">
        <v>17</v>
      </c>
      <c r="F183" s="41">
        <v>2025</v>
      </c>
      <c r="G183" s="41" t="s">
        <v>1346</v>
      </c>
      <c r="H183" s="41"/>
      <c r="I183" s="43"/>
      <c r="J183" s="41"/>
      <c r="K183" s="41"/>
      <c r="L183" s="41" t="s">
        <v>65</v>
      </c>
      <c r="M183" s="41">
        <v>25901</v>
      </c>
      <c r="N183" s="41" t="s">
        <v>578</v>
      </c>
      <c r="O183" s="41" t="s">
        <v>272</v>
      </c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1"/>
      <c r="AC183" s="41"/>
      <c r="AD183" s="41"/>
      <c r="AE183" s="41"/>
      <c r="AF183" s="41"/>
      <c r="AG183" s="42"/>
      <c r="AH183" s="41"/>
      <c r="AI183" s="41"/>
      <c r="AJ183" s="41"/>
      <c r="AK183" s="41"/>
      <c r="AL183" s="41"/>
      <c r="AM183" s="41"/>
      <c r="AN183" s="41"/>
      <c r="AO183" s="41"/>
      <c r="AP183" s="41"/>
      <c r="AQ183" s="41"/>
      <c r="AR183" s="41"/>
      <c r="AS183" s="41"/>
      <c r="AT183" s="41"/>
      <c r="AU183" s="41"/>
      <c r="AV183" s="41"/>
      <c r="AW183" s="41"/>
      <c r="AX183" s="41"/>
      <c r="AY183" s="41"/>
      <c r="AZ183" s="41"/>
      <c r="BA183" s="41"/>
      <c r="BB183" s="41"/>
      <c r="BC183" s="41"/>
      <c r="BD183" s="42"/>
      <c r="BE183" s="41"/>
      <c r="BF183" s="41"/>
      <c r="BG183" s="41"/>
      <c r="BH183" s="42"/>
      <c r="BI183" s="41"/>
      <c r="BJ183" s="41"/>
    </row>
    <row r="184" spans="1:62" s="38" customFormat="1" x14ac:dyDescent="0.25">
      <c r="A184" s="41"/>
      <c r="B184" s="41" t="s">
        <v>90</v>
      </c>
      <c r="C184" s="41" t="s">
        <v>582</v>
      </c>
      <c r="D184" s="41"/>
      <c r="E184" s="41" t="s">
        <v>17</v>
      </c>
      <c r="F184" s="41">
        <v>2025</v>
      </c>
      <c r="G184" s="41" t="s">
        <v>1346</v>
      </c>
      <c r="H184" s="41"/>
      <c r="I184" s="43"/>
      <c r="J184" s="41"/>
      <c r="K184" s="41"/>
      <c r="L184" s="41" t="s">
        <v>77</v>
      </c>
      <c r="M184" s="41">
        <v>100913</v>
      </c>
      <c r="N184" s="41" t="s">
        <v>583</v>
      </c>
      <c r="O184" s="41" t="s">
        <v>67</v>
      </c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  <c r="AB184" s="41"/>
      <c r="AC184" s="41"/>
      <c r="AD184" s="41"/>
      <c r="AE184" s="41"/>
      <c r="AF184" s="41"/>
      <c r="AG184" s="42"/>
      <c r="AH184" s="41"/>
      <c r="AI184" s="41"/>
      <c r="AJ184" s="41"/>
      <c r="AK184" s="41"/>
      <c r="AL184" s="41"/>
      <c r="AM184" s="41"/>
      <c r="AN184" s="41"/>
      <c r="AO184" s="41"/>
      <c r="AP184" s="41"/>
      <c r="AQ184" s="41"/>
      <c r="AR184" s="41"/>
      <c r="AS184" s="41"/>
      <c r="AT184" s="41"/>
      <c r="AU184" s="41"/>
      <c r="AV184" s="41"/>
      <c r="AW184" s="41"/>
      <c r="AX184" s="41"/>
      <c r="AY184" s="41"/>
      <c r="AZ184" s="41"/>
      <c r="BA184" s="41"/>
      <c r="BB184" s="41"/>
      <c r="BC184" s="41"/>
      <c r="BD184" s="42"/>
      <c r="BE184" s="41"/>
      <c r="BF184" s="41"/>
      <c r="BG184" s="41"/>
      <c r="BH184" s="42"/>
      <c r="BI184" s="41"/>
      <c r="BJ184" s="41"/>
    </row>
    <row r="185" spans="1:62" s="38" customFormat="1" x14ac:dyDescent="0.25">
      <c r="A185" s="41"/>
      <c r="B185" s="41" t="s">
        <v>584</v>
      </c>
      <c r="C185" s="41" t="s">
        <v>585</v>
      </c>
      <c r="D185" s="41"/>
      <c r="E185" s="41" t="s">
        <v>17</v>
      </c>
      <c r="F185" s="41">
        <v>2025</v>
      </c>
      <c r="G185" s="41" t="s">
        <v>1346</v>
      </c>
      <c r="H185" s="41"/>
      <c r="I185" s="43"/>
      <c r="J185" s="41"/>
      <c r="K185" s="41"/>
      <c r="L185" s="41" t="s">
        <v>299</v>
      </c>
      <c r="M185" s="41">
        <v>100995</v>
      </c>
      <c r="N185" s="41" t="s">
        <v>586</v>
      </c>
      <c r="O185" s="41" t="s">
        <v>106</v>
      </c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  <c r="AC185" s="41"/>
      <c r="AD185" s="41"/>
      <c r="AE185" s="41"/>
      <c r="AF185" s="41"/>
      <c r="AG185" s="42"/>
      <c r="AH185" s="41"/>
      <c r="AI185" s="41"/>
      <c r="AJ185" s="41"/>
      <c r="AK185" s="41"/>
      <c r="AL185" s="41"/>
      <c r="AM185" s="41"/>
      <c r="AN185" s="41"/>
      <c r="AO185" s="41"/>
      <c r="AP185" s="41"/>
      <c r="AQ185" s="41"/>
      <c r="AR185" s="41"/>
      <c r="AS185" s="41"/>
      <c r="AT185" s="41"/>
      <c r="AU185" s="41"/>
      <c r="AV185" s="41"/>
      <c r="AW185" s="41"/>
      <c r="AX185" s="41"/>
      <c r="AY185" s="41"/>
      <c r="AZ185" s="41"/>
      <c r="BA185" s="41"/>
      <c r="BB185" s="41"/>
      <c r="BC185" s="41"/>
      <c r="BD185" s="42"/>
      <c r="BE185" s="41"/>
      <c r="BF185" s="41"/>
      <c r="BG185" s="41"/>
      <c r="BH185" s="42"/>
      <c r="BI185" s="41"/>
      <c r="BJ185" s="41"/>
    </row>
    <row r="186" spans="1:62" s="38" customFormat="1" x14ac:dyDescent="0.25">
      <c r="A186" s="41"/>
      <c r="B186" s="41" t="s">
        <v>587</v>
      </c>
      <c r="C186" s="41" t="s">
        <v>588</v>
      </c>
      <c r="D186" s="41"/>
      <c r="E186" s="41" t="s">
        <v>17</v>
      </c>
      <c r="F186" s="41">
        <v>2025</v>
      </c>
      <c r="G186" s="41" t="s">
        <v>1346</v>
      </c>
      <c r="H186" s="41"/>
      <c r="I186" s="43"/>
      <c r="J186" s="41"/>
      <c r="K186" s="41"/>
      <c r="L186" s="41" t="s">
        <v>73</v>
      </c>
      <c r="M186" s="41">
        <v>100988</v>
      </c>
      <c r="N186" s="41" t="s">
        <v>589</v>
      </c>
      <c r="O186" s="41" t="s">
        <v>67</v>
      </c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  <c r="AC186" s="41"/>
      <c r="AD186" s="41"/>
      <c r="AE186" s="41"/>
      <c r="AF186" s="41"/>
      <c r="AG186" s="42"/>
      <c r="AH186" s="41"/>
      <c r="AI186" s="41"/>
      <c r="AJ186" s="41"/>
      <c r="AK186" s="41"/>
      <c r="AL186" s="41"/>
      <c r="AM186" s="41"/>
      <c r="AN186" s="41"/>
      <c r="AO186" s="41"/>
      <c r="AP186" s="41"/>
      <c r="AQ186" s="41"/>
      <c r="AR186" s="41"/>
      <c r="AS186" s="41"/>
      <c r="AT186" s="41"/>
      <c r="AU186" s="41"/>
      <c r="AV186" s="41"/>
      <c r="AW186" s="41"/>
      <c r="AX186" s="41"/>
      <c r="AY186" s="41"/>
      <c r="AZ186" s="41"/>
      <c r="BA186" s="41"/>
      <c r="BB186" s="41"/>
      <c r="BC186" s="41"/>
      <c r="BD186" s="42"/>
      <c r="BE186" s="41"/>
      <c r="BF186" s="41"/>
      <c r="BG186" s="41"/>
      <c r="BH186" s="42"/>
      <c r="BI186" s="41"/>
      <c r="BJ186" s="41"/>
    </row>
    <row r="187" spans="1:62" s="38" customFormat="1" x14ac:dyDescent="0.25">
      <c r="A187" s="41"/>
      <c r="B187" s="41" t="s">
        <v>591</v>
      </c>
      <c r="C187" s="41" t="s">
        <v>592</v>
      </c>
      <c r="D187" s="41"/>
      <c r="E187" s="41" t="s">
        <v>17</v>
      </c>
      <c r="F187" s="41">
        <v>2025</v>
      </c>
      <c r="G187" s="41" t="s">
        <v>1346</v>
      </c>
      <c r="H187" s="41"/>
      <c r="I187" s="43"/>
      <c r="J187" s="41"/>
      <c r="K187" s="41"/>
      <c r="L187" s="41" t="s">
        <v>73</v>
      </c>
      <c r="M187" s="41">
        <v>100931</v>
      </c>
      <c r="N187" s="41" t="s">
        <v>593</v>
      </c>
      <c r="O187" s="41" t="s">
        <v>67</v>
      </c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  <c r="AB187" s="41"/>
      <c r="AC187" s="41"/>
      <c r="AD187" s="41"/>
      <c r="AE187" s="41"/>
      <c r="AF187" s="41"/>
      <c r="AG187" s="42"/>
      <c r="AH187" s="41"/>
      <c r="AI187" s="41"/>
      <c r="AJ187" s="41"/>
      <c r="AK187" s="41"/>
      <c r="AL187" s="41"/>
      <c r="AM187" s="41"/>
      <c r="AN187" s="41"/>
      <c r="AO187" s="41"/>
      <c r="AP187" s="41"/>
      <c r="AQ187" s="41"/>
      <c r="AR187" s="41"/>
      <c r="AS187" s="41"/>
      <c r="AT187" s="41"/>
      <c r="AU187" s="41"/>
      <c r="AV187" s="41"/>
      <c r="AW187" s="41"/>
      <c r="AX187" s="41"/>
      <c r="AY187" s="41"/>
      <c r="AZ187" s="41"/>
      <c r="BA187" s="41"/>
      <c r="BB187" s="41"/>
      <c r="BC187" s="41"/>
      <c r="BD187" s="42"/>
      <c r="BE187" s="41"/>
      <c r="BF187" s="41"/>
      <c r="BG187" s="41"/>
      <c r="BH187" s="42"/>
      <c r="BI187" s="41"/>
      <c r="BJ187" s="41"/>
    </row>
    <row r="188" spans="1:62" s="38" customFormat="1" x14ac:dyDescent="0.25">
      <c r="A188" s="41"/>
      <c r="B188" s="41" t="s">
        <v>594</v>
      </c>
      <c r="C188" s="41" t="s">
        <v>595</v>
      </c>
      <c r="D188" s="41"/>
      <c r="E188" s="41" t="s">
        <v>17</v>
      </c>
      <c r="F188" s="41">
        <v>2025</v>
      </c>
      <c r="G188" s="41" t="s">
        <v>1346</v>
      </c>
      <c r="H188" s="41"/>
      <c r="I188" s="43"/>
      <c r="J188" s="41"/>
      <c r="K188" s="41"/>
      <c r="L188" s="41" t="s">
        <v>77</v>
      </c>
      <c r="M188" s="41">
        <v>100000</v>
      </c>
      <c r="N188" s="41" t="s">
        <v>596</v>
      </c>
      <c r="O188" s="41" t="s">
        <v>258</v>
      </c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  <c r="AB188" s="41"/>
      <c r="AC188" s="41"/>
      <c r="AD188" s="41"/>
      <c r="AE188" s="41"/>
      <c r="AF188" s="41"/>
      <c r="AG188" s="42"/>
      <c r="AH188" s="41"/>
      <c r="AI188" s="41"/>
      <c r="AJ188" s="41"/>
      <c r="AK188" s="41"/>
      <c r="AL188" s="41"/>
      <c r="AM188" s="41"/>
      <c r="AN188" s="41"/>
      <c r="AO188" s="41"/>
      <c r="AP188" s="41"/>
      <c r="AQ188" s="41"/>
      <c r="AR188" s="41"/>
      <c r="AS188" s="41"/>
      <c r="AT188" s="41"/>
      <c r="AU188" s="41"/>
      <c r="AV188" s="41"/>
      <c r="AW188" s="41"/>
      <c r="AX188" s="41"/>
      <c r="AY188" s="41"/>
      <c r="AZ188" s="41"/>
      <c r="BA188" s="41"/>
      <c r="BB188" s="41"/>
      <c r="BC188" s="41"/>
      <c r="BD188" s="42"/>
      <c r="BE188" s="41"/>
      <c r="BF188" s="41"/>
      <c r="BG188" s="41"/>
      <c r="BH188" s="42"/>
      <c r="BI188" s="41"/>
      <c r="BJ188" s="41"/>
    </row>
    <row r="189" spans="1:62" s="38" customFormat="1" x14ac:dyDescent="0.25">
      <c r="A189" s="41"/>
      <c r="B189" s="41" t="s">
        <v>597</v>
      </c>
      <c r="C189" s="41" t="s">
        <v>598</v>
      </c>
      <c r="D189" s="41"/>
      <c r="E189" s="41" t="s">
        <v>17</v>
      </c>
      <c r="F189" s="41">
        <v>2025</v>
      </c>
      <c r="G189" s="41" t="s">
        <v>1346</v>
      </c>
      <c r="H189" s="41"/>
      <c r="I189" s="43"/>
      <c r="J189" s="41"/>
      <c r="K189" s="41"/>
      <c r="L189" s="41" t="s">
        <v>73</v>
      </c>
      <c r="M189" s="41">
        <v>100920</v>
      </c>
      <c r="N189" s="41" t="s">
        <v>599</v>
      </c>
      <c r="O189" s="41" t="s">
        <v>258</v>
      </c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  <c r="AC189" s="41"/>
      <c r="AD189" s="41"/>
      <c r="AE189" s="41"/>
      <c r="AF189" s="41"/>
      <c r="AG189" s="42"/>
      <c r="AH189" s="41"/>
      <c r="AI189" s="41"/>
      <c r="AJ189" s="41"/>
      <c r="AK189" s="41"/>
      <c r="AL189" s="41"/>
      <c r="AM189" s="41"/>
      <c r="AN189" s="41"/>
      <c r="AO189" s="41"/>
      <c r="AP189" s="41"/>
      <c r="AQ189" s="41"/>
      <c r="AR189" s="41"/>
      <c r="AS189" s="41"/>
      <c r="AT189" s="41"/>
      <c r="AU189" s="41"/>
      <c r="AV189" s="41"/>
      <c r="AW189" s="41"/>
      <c r="AX189" s="41"/>
      <c r="AY189" s="41"/>
      <c r="AZ189" s="41"/>
      <c r="BA189" s="41"/>
      <c r="BB189" s="41"/>
      <c r="BC189" s="41"/>
      <c r="BD189" s="42"/>
      <c r="BE189" s="41"/>
      <c r="BF189" s="41"/>
      <c r="BG189" s="41"/>
      <c r="BH189" s="42"/>
      <c r="BI189" s="41"/>
      <c r="BJ189" s="41"/>
    </row>
    <row r="190" spans="1:62" s="38" customFormat="1" x14ac:dyDescent="0.25">
      <c r="A190" s="41"/>
      <c r="B190" s="41" t="s">
        <v>600</v>
      </c>
      <c r="C190" s="41" t="s">
        <v>601</v>
      </c>
      <c r="D190" s="41"/>
      <c r="E190" s="41" t="s">
        <v>17</v>
      </c>
      <c r="F190" s="41">
        <v>2025</v>
      </c>
      <c r="G190" s="41" t="s">
        <v>1346</v>
      </c>
      <c r="H190" s="41"/>
      <c r="I190" s="43"/>
      <c r="J190" s="41"/>
      <c r="K190" s="41"/>
      <c r="L190" s="41" t="s">
        <v>77</v>
      </c>
      <c r="M190" s="41">
        <v>50914</v>
      </c>
      <c r="N190" s="41" t="s">
        <v>602</v>
      </c>
      <c r="O190" s="41" t="s">
        <v>258</v>
      </c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1"/>
      <c r="AC190" s="41"/>
      <c r="AD190" s="41"/>
      <c r="AE190" s="41"/>
      <c r="AF190" s="41"/>
      <c r="AG190" s="42"/>
      <c r="AH190" s="41"/>
      <c r="AI190" s="41"/>
      <c r="AJ190" s="41"/>
      <c r="AK190" s="41"/>
      <c r="AL190" s="41"/>
      <c r="AM190" s="41"/>
      <c r="AN190" s="41"/>
      <c r="AO190" s="41"/>
      <c r="AP190" s="41"/>
      <c r="AQ190" s="41"/>
      <c r="AR190" s="41"/>
      <c r="AS190" s="41"/>
      <c r="AT190" s="41"/>
      <c r="AU190" s="41"/>
      <c r="AV190" s="41"/>
      <c r="AW190" s="41"/>
      <c r="AX190" s="41"/>
      <c r="AY190" s="41"/>
      <c r="AZ190" s="41"/>
      <c r="BA190" s="41"/>
      <c r="BB190" s="41"/>
      <c r="BC190" s="41"/>
      <c r="BD190" s="42"/>
      <c r="BE190" s="41"/>
      <c r="BF190" s="41"/>
      <c r="BG190" s="41"/>
      <c r="BH190" s="42"/>
      <c r="BI190" s="41"/>
      <c r="BJ190" s="41"/>
    </row>
    <row r="191" spans="1:62" s="38" customFormat="1" x14ac:dyDescent="0.25">
      <c r="A191" s="41"/>
      <c r="B191" s="41" t="s">
        <v>603</v>
      </c>
      <c r="C191" s="41" t="s">
        <v>604</v>
      </c>
      <c r="D191" s="41"/>
      <c r="E191" s="41" t="s">
        <v>17</v>
      </c>
      <c r="F191" s="41">
        <v>2025</v>
      </c>
      <c r="G191" s="41" t="s">
        <v>1346</v>
      </c>
      <c r="H191" s="41"/>
      <c r="I191" s="43"/>
      <c r="J191" s="41"/>
      <c r="K191" s="41"/>
      <c r="L191" s="41" t="s">
        <v>268</v>
      </c>
      <c r="M191" s="41">
        <v>250902</v>
      </c>
      <c r="N191" s="41" t="s">
        <v>605</v>
      </c>
      <c r="O191" s="41" t="s">
        <v>272</v>
      </c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1"/>
      <c r="AC191" s="41"/>
      <c r="AD191" s="41"/>
      <c r="AE191" s="41"/>
      <c r="AF191" s="41"/>
      <c r="AG191" s="42"/>
      <c r="AH191" s="41"/>
      <c r="AI191" s="41"/>
      <c r="AJ191" s="41"/>
      <c r="AK191" s="41"/>
      <c r="AL191" s="41"/>
      <c r="AM191" s="41"/>
      <c r="AN191" s="41"/>
      <c r="AO191" s="41"/>
      <c r="AP191" s="41"/>
      <c r="AQ191" s="41"/>
      <c r="AR191" s="41"/>
      <c r="AS191" s="41"/>
      <c r="AT191" s="41"/>
      <c r="AU191" s="41"/>
      <c r="AV191" s="41"/>
      <c r="AW191" s="41"/>
      <c r="AX191" s="41"/>
      <c r="AY191" s="41"/>
      <c r="AZ191" s="41"/>
      <c r="BA191" s="41"/>
      <c r="BB191" s="41"/>
      <c r="BC191" s="41"/>
      <c r="BD191" s="42"/>
      <c r="BE191" s="41"/>
      <c r="BF191" s="41"/>
      <c r="BG191" s="41"/>
      <c r="BH191" s="42"/>
      <c r="BI191" s="41"/>
      <c r="BJ191" s="41"/>
    </row>
    <row r="192" spans="1:62" s="38" customFormat="1" x14ac:dyDescent="0.25">
      <c r="A192" s="41"/>
      <c r="B192" s="41" t="s">
        <v>606</v>
      </c>
      <c r="C192" s="41" t="s">
        <v>607</v>
      </c>
      <c r="D192" s="41"/>
      <c r="E192" s="41" t="s">
        <v>17</v>
      </c>
      <c r="F192" s="41">
        <v>2025</v>
      </c>
      <c r="G192" s="41" t="s">
        <v>1346</v>
      </c>
      <c r="H192" s="41"/>
      <c r="I192" s="43"/>
      <c r="J192" s="41"/>
      <c r="K192" s="41"/>
      <c r="L192" s="41" t="s">
        <v>73</v>
      </c>
      <c r="M192" s="41">
        <v>100935</v>
      </c>
      <c r="N192" s="41" t="s">
        <v>608</v>
      </c>
      <c r="O192" s="41" t="s">
        <v>258</v>
      </c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  <c r="AC192" s="41"/>
      <c r="AD192" s="41"/>
      <c r="AE192" s="41"/>
      <c r="AF192" s="41"/>
      <c r="AG192" s="42"/>
      <c r="AH192" s="41"/>
      <c r="AI192" s="41"/>
      <c r="AJ192" s="41"/>
      <c r="AK192" s="41"/>
      <c r="AL192" s="41"/>
      <c r="AM192" s="41"/>
      <c r="AN192" s="41"/>
      <c r="AO192" s="41"/>
      <c r="AP192" s="41"/>
      <c r="AQ192" s="41"/>
      <c r="AR192" s="41"/>
      <c r="AS192" s="41"/>
      <c r="AT192" s="41"/>
      <c r="AU192" s="41"/>
      <c r="AV192" s="41"/>
      <c r="AW192" s="41"/>
      <c r="AX192" s="41"/>
      <c r="AY192" s="41"/>
      <c r="AZ192" s="41"/>
      <c r="BA192" s="41"/>
      <c r="BB192" s="41"/>
      <c r="BC192" s="41"/>
      <c r="BD192" s="42"/>
      <c r="BE192" s="41"/>
      <c r="BF192" s="41"/>
      <c r="BG192" s="41"/>
      <c r="BH192" s="42"/>
      <c r="BI192" s="41"/>
      <c r="BJ192" s="41"/>
    </row>
    <row r="193" spans="1:62" s="38" customFormat="1" x14ac:dyDescent="0.25">
      <c r="A193" s="41"/>
      <c r="B193" s="41" t="s">
        <v>609</v>
      </c>
      <c r="C193" s="41" t="s">
        <v>610</v>
      </c>
      <c r="D193" s="41"/>
      <c r="E193" s="41" t="s">
        <v>17</v>
      </c>
      <c r="F193" s="41">
        <v>2025</v>
      </c>
      <c r="G193" s="41" t="s">
        <v>1346</v>
      </c>
      <c r="H193" s="41"/>
      <c r="I193" s="43"/>
      <c r="J193" s="41"/>
      <c r="K193" s="41"/>
      <c r="L193" s="41" t="s">
        <v>268</v>
      </c>
      <c r="M193" s="41">
        <v>100991</v>
      </c>
      <c r="N193" s="41" t="s">
        <v>611</v>
      </c>
      <c r="O193" s="41" t="s">
        <v>67</v>
      </c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1"/>
      <c r="AC193" s="41"/>
      <c r="AD193" s="41"/>
      <c r="AE193" s="41"/>
      <c r="AF193" s="41"/>
      <c r="AG193" s="42"/>
      <c r="AH193" s="41"/>
      <c r="AI193" s="41"/>
      <c r="AJ193" s="41"/>
      <c r="AK193" s="41"/>
      <c r="AL193" s="41"/>
      <c r="AM193" s="41"/>
      <c r="AN193" s="41"/>
      <c r="AO193" s="41"/>
      <c r="AP193" s="41"/>
      <c r="AQ193" s="41"/>
      <c r="AR193" s="41"/>
      <c r="AS193" s="41"/>
      <c r="AT193" s="41"/>
      <c r="AU193" s="41"/>
      <c r="AV193" s="41"/>
      <c r="AW193" s="41"/>
      <c r="AX193" s="41"/>
      <c r="AY193" s="41"/>
      <c r="AZ193" s="41"/>
      <c r="BA193" s="41"/>
      <c r="BB193" s="41"/>
      <c r="BC193" s="41"/>
      <c r="BD193" s="42"/>
      <c r="BE193" s="41"/>
      <c r="BF193" s="41"/>
      <c r="BG193" s="41"/>
      <c r="BH193" s="42"/>
      <c r="BI193" s="41"/>
      <c r="BJ193" s="41"/>
    </row>
    <row r="194" spans="1:62" s="38" customFormat="1" x14ac:dyDescent="0.25">
      <c r="A194" s="41"/>
      <c r="B194" s="41" t="s">
        <v>612</v>
      </c>
      <c r="C194" s="41" t="s">
        <v>613</v>
      </c>
      <c r="D194" s="41"/>
      <c r="E194" s="41" t="s">
        <v>17</v>
      </c>
      <c r="F194" s="41">
        <v>2025</v>
      </c>
      <c r="G194" s="41" t="s">
        <v>1346</v>
      </c>
      <c r="H194" s="41"/>
      <c r="I194" s="43"/>
      <c r="J194" s="41"/>
      <c r="K194" s="41"/>
      <c r="L194" s="41" t="s">
        <v>73</v>
      </c>
      <c r="M194" s="41">
        <v>100995</v>
      </c>
      <c r="N194" s="41" t="s">
        <v>614</v>
      </c>
      <c r="O194" s="41" t="s">
        <v>266</v>
      </c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  <c r="AC194" s="41"/>
      <c r="AD194" s="41"/>
      <c r="AE194" s="41"/>
      <c r="AF194" s="41"/>
      <c r="AG194" s="42"/>
      <c r="AH194" s="41"/>
      <c r="AI194" s="41"/>
      <c r="AJ194" s="41"/>
      <c r="AK194" s="41"/>
      <c r="AL194" s="41"/>
      <c r="AM194" s="41"/>
      <c r="AN194" s="41"/>
      <c r="AO194" s="41"/>
      <c r="AP194" s="41"/>
      <c r="AQ194" s="41"/>
      <c r="AR194" s="41"/>
      <c r="AS194" s="41"/>
      <c r="AT194" s="41"/>
      <c r="AU194" s="41"/>
      <c r="AV194" s="41"/>
      <c r="AW194" s="41"/>
      <c r="AX194" s="41"/>
      <c r="AY194" s="41"/>
      <c r="AZ194" s="41"/>
      <c r="BA194" s="41"/>
      <c r="BB194" s="41"/>
      <c r="BC194" s="41"/>
      <c r="BD194" s="42"/>
      <c r="BE194" s="41"/>
      <c r="BF194" s="41"/>
      <c r="BG194" s="41"/>
      <c r="BH194" s="42"/>
      <c r="BI194" s="41"/>
      <c r="BJ194" s="41"/>
    </row>
    <row r="195" spans="1:62" s="38" customFormat="1" x14ac:dyDescent="0.25">
      <c r="A195" s="41"/>
      <c r="B195" s="41" t="s">
        <v>615</v>
      </c>
      <c r="C195" s="41" t="s">
        <v>616</v>
      </c>
      <c r="D195" s="41"/>
      <c r="E195" s="41" t="s">
        <v>17</v>
      </c>
      <c r="F195" s="41">
        <v>2025</v>
      </c>
      <c r="G195" s="41" t="s">
        <v>1346</v>
      </c>
      <c r="H195" s="41"/>
      <c r="I195" s="43"/>
      <c r="J195" s="41"/>
      <c r="K195" s="41"/>
      <c r="L195" s="41" t="s">
        <v>73</v>
      </c>
      <c r="M195" s="41">
        <v>50958</v>
      </c>
      <c r="N195" s="41" t="s">
        <v>617</v>
      </c>
      <c r="O195" s="41" t="s">
        <v>79</v>
      </c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  <c r="AB195" s="41"/>
      <c r="AC195" s="41"/>
      <c r="AD195" s="41"/>
      <c r="AE195" s="41"/>
      <c r="AF195" s="41"/>
      <c r="AG195" s="42"/>
      <c r="AH195" s="41"/>
      <c r="AI195" s="41"/>
      <c r="AJ195" s="41"/>
      <c r="AK195" s="41"/>
      <c r="AL195" s="41"/>
      <c r="AM195" s="41"/>
      <c r="AN195" s="41"/>
      <c r="AO195" s="41"/>
      <c r="AP195" s="41"/>
      <c r="AQ195" s="41"/>
      <c r="AR195" s="41"/>
      <c r="AS195" s="41"/>
      <c r="AT195" s="41"/>
      <c r="AU195" s="41"/>
      <c r="AV195" s="41"/>
      <c r="AW195" s="41"/>
      <c r="AX195" s="41"/>
      <c r="AY195" s="41"/>
      <c r="AZ195" s="41"/>
      <c r="BA195" s="41"/>
      <c r="BB195" s="41"/>
      <c r="BC195" s="41"/>
      <c r="BD195" s="42"/>
      <c r="BE195" s="41"/>
      <c r="BF195" s="41"/>
      <c r="BG195" s="41"/>
      <c r="BH195" s="42"/>
      <c r="BI195" s="41"/>
      <c r="BJ195" s="41"/>
    </row>
    <row r="196" spans="1:62" s="38" customFormat="1" x14ac:dyDescent="0.25">
      <c r="A196" s="41"/>
      <c r="B196" s="41" t="s">
        <v>618</v>
      </c>
      <c r="C196" s="41" t="s">
        <v>619</v>
      </c>
      <c r="D196" s="41"/>
      <c r="E196" s="41" t="s">
        <v>17</v>
      </c>
      <c r="F196" s="41">
        <v>2025</v>
      </c>
      <c r="G196" s="41" t="s">
        <v>1346</v>
      </c>
      <c r="H196" s="41"/>
      <c r="I196" s="43"/>
      <c r="J196" s="41"/>
      <c r="K196" s="41"/>
      <c r="L196" s="41" t="s">
        <v>268</v>
      </c>
      <c r="M196" s="41">
        <v>50901</v>
      </c>
      <c r="N196" s="41" t="s">
        <v>620</v>
      </c>
      <c r="O196" s="41" t="s">
        <v>258</v>
      </c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  <c r="AC196" s="41"/>
      <c r="AD196" s="41"/>
      <c r="AE196" s="41"/>
      <c r="AF196" s="41"/>
      <c r="AG196" s="42"/>
      <c r="AH196" s="41"/>
      <c r="AI196" s="41"/>
      <c r="AJ196" s="41"/>
      <c r="AK196" s="41"/>
      <c r="AL196" s="41"/>
      <c r="AM196" s="41"/>
      <c r="AN196" s="41"/>
      <c r="AO196" s="41"/>
      <c r="AP196" s="41"/>
      <c r="AQ196" s="41"/>
      <c r="AR196" s="41"/>
      <c r="AS196" s="41"/>
      <c r="AT196" s="41"/>
      <c r="AU196" s="41"/>
      <c r="AV196" s="41"/>
      <c r="AW196" s="41"/>
      <c r="AX196" s="41"/>
      <c r="AY196" s="41"/>
      <c r="AZ196" s="41"/>
      <c r="BA196" s="41"/>
      <c r="BB196" s="41"/>
      <c r="BC196" s="41"/>
      <c r="BD196" s="42"/>
      <c r="BE196" s="41"/>
      <c r="BF196" s="41"/>
      <c r="BG196" s="41"/>
      <c r="BH196" s="42"/>
      <c r="BI196" s="41"/>
      <c r="BJ196" s="41"/>
    </row>
    <row r="197" spans="1:62" s="38" customFormat="1" x14ac:dyDescent="0.25">
      <c r="A197" s="41"/>
      <c r="B197" s="41" t="s">
        <v>621</v>
      </c>
      <c r="C197" s="41" t="s">
        <v>622</v>
      </c>
      <c r="D197" s="41"/>
      <c r="E197" s="41" t="s">
        <v>17</v>
      </c>
      <c r="F197" s="41">
        <v>2025</v>
      </c>
      <c r="G197" s="41" t="s">
        <v>1346</v>
      </c>
      <c r="H197" s="41"/>
      <c r="I197" s="43"/>
      <c r="J197" s="41"/>
      <c r="K197" s="41"/>
      <c r="L197" s="41" t="s">
        <v>77</v>
      </c>
      <c r="M197" s="41">
        <v>100948</v>
      </c>
      <c r="N197" s="41" t="s">
        <v>623</v>
      </c>
      <c r="O197" s="41" t="s">
        <v>235</v>
      </c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  <c r="AB197" s="41"/>
      <c r="AC197" s="41"/>
      <c r="AD197" s="41"/>
      <c r="AE197" s="41"/>
      <c r="AF197" s="41"/>
      <c r="AG197" s="42"/>
      <c r="AH197" s="41"/>
      <c r="AI197" s="41"/>
      <c r="AJ197" s="41"/>
      <c r="AK197" s="41"/>
      <c r="AL197" s="41"/>
      <c r="AM197" s="41"/>
      <c r="AN197" s="41"/>
      <c r="AO197" s="41"/>
      <c r="AP197" s="41"/>
      <c r="AQ197" s="41"/>
      <c r="AR197" s="41"/>
      <c r="AS197" s="41"/>
      <c r="AT197" s="41"/>
      <c r="AU197" s="41"/>
      <c r="AV197" s="41"/>
      <c r="AW197" s="41"/>
      <c r="AX197" s="41"/>
      <c r="AY197" s="41"/>
      <c r="AZ197" s="41"/>
      <c r="BA197" s="41"/>
      <c r="BB197" s="41"/>
      <c r="BC197" s="41"/>
      <c r="BD197" s="42"/>
      <c r="BE197" s="41"/>
      <c r="BF197" s="41"/>
      <c r="BG197" s="41"/>
      <c r="BH197" s="42"/>
      <c r="BI197" s="41"/>
      <c r="BJ197" s="41"/>
    </row>
    <row r="198" spans="1:62" s="38" customFormat="1" x14ac:dyDescent="0.25">
      <c r="A198" s="41"/>
      <c r="B198" s="41" t="s">
        <v>624</v>
      </c>
      <c r="C198" s="41" t="s">
        <v>625</v>
      </c>
      <c r="D198" s="41"/>
      <c r="E198" s="41" t="s">
        <v>17</v>
      </c>
      <c r="F198" s="41">
        <v>2025</v>
      </c>
      <c r="G198" s="41" t="s">
        <v>1346</v>
      </c>
      <c r="H198" s="41"/>
      <c r="I198" s="43"/>
      <c r="J198" s="41"/>
      <c r="K198" s="41"/>
      <c r="L198" s="41" t="s">
        <v>73</v>
      </c>
      <c r="M198" s="41">
        <v>100975</v>
      </c>
      <c r="N198" s="41" t="s">
        <v>626</v>
      </c>
      <c r="O198" s="41" t="s">
        <v>272</v>
      </c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  <c r="AB198" s="41"/>
      <c r="AC198" s="41"/>
      <c r="AD198" s="41"/>
      <c r="AE198" s="41"/>
      <c r="AF198" s="41"/>
      <c r="AG198" s="42"/>
      <c r="AH198" s="41"/>
      <c r="AI198" s="41"/>
      <c r="AJ198" s="41"/>
      <c r="AK198" s="41"/>
      <c r="AL198" s="41"/>
      <c r="AM198" s="41"/>
      <c r="AN198" s="41"/>
      <c r="AO198" s="41"/>
      <c r="AP198" s="41"/>
      <c r="AQ198" s="41"/>
      <c r="AR198" s="41"/>
      <c r="AS198" s="41"/>
      <c r="AT198" s="41"/>
      <c r="AU198" s="41"/>
      <c r="AV198" s="41"/>
      <c r="AW198" s="41"/>
      <c r="AX198" s="41"/>
      <c r="AY198" s="41"/>
      <c r="AZ198" s="41"/>
      <c r="BA198" s="41"/>
      <c r="BB198" s="41"/>
      <c r="BC198" s="41"/>
      <c r="BD198" s="42"/>
      <c r="BE198" s="41"/>
      <c r="BF198" s="41"/>
      <c r="BG198" s="41"/>
      <c r="BH198" s="42"/>
      <c r="BI198" s="41"/>
      <c r="BJ198" s="41"/>
    </row>
    <row r="199" spans="1:62" s="38" customFormat="1" x14ac:dyDescent="0.25">
      <c r="A199" s="41"/>
      <c r="B199" s="41" t="s">
        <v>627</v>
      </c>
      <c r="C199" s="41" t="s">
        <v>628</v>
      </c>
      <c r="D199" s="41"/>
      <c r="E199" s="41" t="s">
        <v>17</v>
      </c>
      <c r="F199" s="41">
        <v>2025</v>
      </c>
      <c r="G199" s="41" t="s">
        <v>1346</v>
      </c>
      <c r="H199" s="41"/>
      <c r="I199" s="43"/>
      <c r="J199" s="41"/>
      <c r="K199" s="41"/>
      <c r="L199" s="41" t="s">
        <v>77</v>
      </c>
      <c r="M199" s="41">
        <v>100965</v>
      </c>
      <c r="N199" s="41" t="s">
        <v>629</v>
      </c>
      <c r="O199" s="41" t="s">
        <v>235</v>
      </c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  <c r="AB199" s="41"/>
      <c r="AC199" s="41"/>
      <c r="AD199" s="41"/>
      <c r="AE199" s="41"/>
      <c r="AF199" s="41"/>
      <c r="AG199" s="42"/>
      <c r="AH199" s="41"/>
      <c r="AI199" s="41"/>
      <c r="AJ199" s="41"/>
      <c r="AK199" s="41"/>
      <c r="AL199" s="41"/>
      <c r="AM199" s="41"/>
      <c r="AN199" s="41"/>
      <c r="AO199" s="41"/>
      <c r="AP199" s="41"/>
      <c r="AQ199" s="41"/>
      <c r="AR199" s="41"/>
      <c r="AS199" s="41"/>
      <c r="AT199" s="41"/>
      <c r="AU199" s="41"/>
      <c r="AV199" s="41"/>
      <c r="AW199" s="41"/>
      <c r="AX199" s="41"/>
      <c r="AY199" s="41"/>
      <c r="AZ199" s="41"/>
      <c r="BA199" s="41"/>
      <c r="BB199" s="41"/>
      <c r="BC199" s="41"/>
      <c r="BD199" s="42"/>
      <c r="BE199" s="41"/>
      <c r="BF199" s="41"/>
      <c r="BG199" s="41"/>
      <c r="BH199" s="42"/>
      <c r="BI199" s="41"/>
      <c r="BJ199" s="41"/>
    </row>
    <row r="200" spans="1:62" s="38" customFormat="1" x14ac:dyDescent="0.25">
      <c r="A200" s="41"/>
      <c r="B200" s="41" t="s">
        <v>630</v>
      </c>
      <c r="C200" s="41" t="s">
        <v>631</v>
      </c>
      <c r="D200" s="41"/>
      <c r="E200" s="41" t="s">
        <v>17</v>
      </c>
      <c r="F200" s="41">
        <v>2025</v>
      </c>
      <c r="G200" s="41" t="s">
        <v>1346</v>
      </c>
      <c r="H200" s="41"/>
      <c r="I200" s="43"/>
      <c r="J200" s="41"/>
      <c r="K200" s="41"/>
      <c r="L200" s="41" t="s">
        <v>77</v>
      </c>
      <c r="M200" s="41">
        <v>250950</v>
      </c>
      <c r="N200" s="41" t="s">
        <v>632</v>
      </c>
      <c r="O200" s="41" t="s">
        <v>272</v>
      </c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  <c r="AB200" s="41"/>
      <c r="AC200" s="41"/>
      <c r="AD200" s="41"/>
      <c r="AE200" s="41"/>
      <c r="AF200" s="41"/>
      <c r="AG200" s="42"/>
      <c r="AH200" s="41"/>
      <c r="AI200" s="41"/>
      <c r="AJ200" s="41"/>
      <c r="AK200" s="41"/>
      <c r="AL200" s="41"/>
      <c r="AM200" s="41"/>
      <c r="AN200" s="41"/>
      <c r="AO200" s="41"/>
      <c r="AP200" s="41"/>
      <c r="AQ200" s="41"/>
      <c r="AR200" s="41"/>
      <c r="AS200" s="41"/>
      <c r="AT200" s="41"/>
      <c r="AU200" s="41"/>
      <c r="AV200" s="41"/>
      <c r="AW200" s="41"/>
      <c r="AX200" s="41"/>
      <c r="AY200" s="41"/>
      <c r="AZ200" s="41"/>
      <c r="BA200" s="41"/>
      <c r="BB200" s="41"/>
      <c r="BC200" s="41"/>
      <c r="BD200" s="42"/>
      <c r="BE200" s="41"/>
      <c r="BF200" s="41"/>
      <c r="BG200" s="41"/>
      <c r="BH200" s="42"/>
      <c r="BI200" s="41"/>
      <c r="BJ200" s="41"/>
    </row>
    <row r="201" spans="1:62" s="38" customFormat="1" x14ac:dyDescent="0.25">
      <c r="A201" s="41"/>
      <c r="B201" s="41" t="s">
        <v>633</v>
      </c>
      <c r="C201" s="41" t="s">
        <v>634</v>
      </c>
      <c r="D201" s="41"/>
      <c r="E201" s="41" t="s">
        <v>17</v>
      </c>
      <c r="F201" s="41">
        <v>2025</v>
      </c>
      <c r="G201" s="41" t="s">
        <v>1346</v>
      </c>
      <c r="H201" s="41"/>
      <c r="I201" s="43"/>
      <c r="J201" s="41"/>
      <c r="K201" s="41"/>
      <c r="L201" s="41" t="s">
        <v>73</v>
      </c>
      <c r="M201" s="41">
        <v>100924</v>
      </c>
      <c r="N201" s="41" t="s">
        <v>635</v>
      </c>
      <c r="O201" s="41" t="s">
        <v>146</v>
      </c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  <c r="AB201" s="41"/>
      <c r="AC201" s="41"/>
      <c r="AD201" s="41"/>
      <c r="AE201" s="41"/>
      <c r="AF201" s="41"/>
      <c r="AG201" s="42"/>
      <c r="AH201" s="41"/>
      <c r="AI201" s="41"/>
      <c r="AJ201" s="41"/>
      <c r="AK201" s="41"/>
      <c r="AL201" s="41"/>
      <c r="AM201" s="41"/>
      <c r="AN201" s="41"/>
      <c r="AO201" s="41"/>
      <c r="AP201" s="41"/>
      <c r="AQ201" s="41"/>
      <c r="AR201" s="41"/>
      <c r="AS201" s="41"/>
      <c r="AT201" s="41"/>
      <c r="AU201" s="41"/>
      <c r="AV201" s="41"/>
      <c r="AW201" s="41"/>
      <c r="AX201" s="41"/>
      <c r="AY201" s="41"/>
      <c r="AZ201" s="41"/>
      <c r="BA201" s="41"/>
      <c r="BB201" s="41"/>
      <c r="BC201" s="41"/>
      <c r="BD201" s="42"/>
      <c r="BE201" s="41"/>
      <c r="BF201" s="41"/>
      <c r="BG201" s="41"/>
      <c r="BH201" s="42"/>
      <c r="BI201" s="41"/>
      <c r="BJ201" s="41"/>
    </row>
    <row r="202" spans="1:62" s="38" customFormat="1" x14ac:dyDescent="0.25">
      <c r="A202" s="41"/>
      <c r="B202" s="41" t="s">
        <v>636</v>
      </c>
      <c r="C202" s="41" t="s">
        <v>637</v>
      </c>
      <c r="D202" s="41"/>
      <c r="E202" s="41" t="s">
        <v>17</v>
      </c>
      <c r="F202" s="41">
        <v>2025</v>
      </c>
      <c r="G202" s="41" t="s">
        <v>1346</v>
      </c>
      <c r="H202" s="41"/>
      <c r="I202" s="43"/>
      <c r="J202" s="41"/>
      <c r="K202" s="41"/>
      <c r="L202" s="41" t="s">
        <v>73</v>
      </c>
      <c r="M202" s="41">
        <v>100985</v>
      </c>
      <c r="N202" s="41" t="s">
        <v>638</v>
      </c>
      <c r="O202" s="41" t="s">
        <v>272</v>
      </c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  <c r="AB202" s="41"/>
      <c r="AC202" s="41"/>
      <c r="AD202" s="41"/>
      <c r="AE202" s="41"/>
      <c r="AF202" s="41"/>
      <c r="AG202" s="42"/>
      <c r="AH202" s="41"/>
      <c r="AI202" s="41"/>
      <c r="AJ202" s="41"/>
      <c r="AK202" s="41"/>
      <c r="AL202" s="41"/>
      <c r="AM202" s="41"/>
      <c r="AN202" s="41"/>
      <c r="AO202" s="41"/>
      <c r="AP202" s="41"/>
      <c r="AQ202" s="41"/>
      <c r="AR202" s="41"/>
      <c r="AS202" s="41"/>
      <c r="AT202" s="41"/>
      <c r="AU202" s="41"/>
      <c r="AV202" s="41"/>
      <c r="AW202" s="41"/>
      <c r="AX202" s="41"/>
      <c r="AY202" s="41"/>
      <c r="AZ202" s="41"/>
      <c r="BA202" s="41"/>
      <c r="BB202" s="41"/>
      <c r="BC202" s="41"/>
      <c r="BD202" s="42"/>
      <c r="BE202" s="41"/>
      <c r="BF202" s="41"/>
      <c r="BG202" s="41"/>
      <c r="BH202" s="42"/>
      <c r="BI202" s="41"/>
      <c r="BJ202" s="41"/>
    </row>
    <row r="203" spans="1:62" s="38" customFormat="1" x14ac:dyDescent="0.25">
      <c r="A203" s="41"/>
      <c r="B203" s="41" t="s">
        <v>639</v>
      </c>
      <c r="C203" s="41" t="s">
        <v>640</v>
      </c>
      <c r="D203" s="41"/>
      <c r="E203" s="41" t="s">
        <v>17</v>
      </c>
      <c r="F203" s="41">
        <v>2025</v>
      </c>
      <c r="G203" s="41" t="s">
        <v>1346</v>
      </c>
      <c r="H203" s="41"/>
      <c r="I203" s="43"/>
      <c r="J203" s="41"/>
      <c r="K203" s="41"/>
      <c r="L203" s="41" t="s">
        <v>73</v>
      </c>
      <c r="M203" s="41">
        <v>50947</v>
      </c>
      <c r="N203" s="41" t="s">
        <v>641</v>
      </c>
      <c r="O203" s="41" t="s">
        <v>379</v>
      </c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1"/>
      <c r="AC203" s="41"/>
      <c r="AD203" s="41"/>
      <c r="AE203" s="41"/>
      <c r="AF203" s="41"/>
      <c r="AG203" s="42"/>
      <c r="AH203" s="41"/>
      <c r="AI203" s="41"/>
      <c r="AJ203" s="41"/>
      <c r="AK203" s="41"/>
      <c r="AL203" s="41"/>
      <c r="AM203" s="41"/>
      <c r="AN203" s="41"/>
      <c r="AO203" s="41"/>
      <c r="AP203" s="41"/>
      <c r="AQ203" s="41"/>
      <c r="AR203" s="41"/>
      <c r="AS203" s="41"/>
      <c r="AT203" s="41"/>
      <c r="AU203" s="41"/>
      <c r="AV203" s="41"/>
      <c r="AW203" s="41"/>
      <c r="AX203" s="41"/>
      <c r="AY203" s="41"/>
      <c r="AZ203" s="41"/>
      <c r="BA203" s="41"/>
      <c r="BB203" s="41"/>
      <c r="BC203" s="41"/>
      <c r="BD203" s="42"/>
      <c r="BE203" s="41"/>
      <c r="BF203" s="41"/>
      <c r="BG203" s="41"/>
      <c r="BH203" s="42"/>
      <c r="BI203" s="41"/>
      <c r="BJ203" s="41"/>
    </row>
    <row r="204" spans="1:62" s="38" customFormat="1" x14ac:dyDescent="0.25">
      <c r="A204" s="41"/>
      <c r="B204" s="41" t="s">
        <v>642</v>
      </c>
      <c r="C204" s="41" t="s">
        <v>643</v>
      </c>
      <c r="D204" s="41"/>
      <c r="E204" s="41" t="s">
        <v>17</v>
      </c>
      <c r="F204" s="41">
        <v>2025</v>
      </c>
      <c r="G204" s="41" t="s">
        <v>1346</v>
      </c>
      <c r="H204" s="41"/>
      <c r="I204" s="43"/>
      <c r="J204" s="41"/>
      <c r="K204" s="41"/>
      <c r="L204" s="41" t="s">
        <v>73</v>
      </c>
      <c r="M204" s="41">
        <v>50901</v>
      </c>
      <c r="N204" s="41" t="s">
        <v>644</v>
      </c>
      <c r="O204" s="41" t="s">
        <v>258</v>
      </c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  <c r="AB204" s="41"/>
      <c r="AC204" s="41"/>
      <c r="AD204" s="41"/>
      <c r="AE204" s="41"/>
      <c r="AF204" s="41"/>
      <c r="AG204" s="42"/>
      <c r="AH204" s="41"/>
      <c r="AI204" s="41"/>
      <c r="AJ204" s="41"/>
      <c r="AK204" s="41"/>
      <c r="AL204" s="41"/>
      <c r="AM204" s="41"/>
      <c r="AN204" s="41"/>
      <c r="AO204" s="41"/>
      <c r="AP204" s="41"/>
      <c r="AQ204" s="41"/>
      <c r="AR204" s="41"/>
      <c r="AS204" s="41"/>
      <c r="AT204" s="41"/>
      <c r="AU204" s="41"/>
      <c r="AV204" s="41"/>
      <c r="AW204" s="41"/>
      <c r="AX204" s="41"/>
      <c r="AY204" s="41"/>
      <c r="AZ204" s="41"/>
      <c r="BA204" s="41"/>
      <c r="BB204" s="41"/>
      <c r="BC204" s="41"/>
      <c r="BD204" s="42"/>
      <c r="BE204" s="41"/>
      <c r="BF204" s="41"/>
      <c r="BG204" s="41"/>
      <c r="BH204" s="42"/>
      <c r="BI204" s="41"/>
      <c r="BJ204" s="41"/>
    </row>
    <row r="205" spans="1:62" s="38" customFormat="1" x14ac:dyDescent="0.25">
      <c r="A205" s="41"/>
      <c r="B205" s="41" t="s">
        <v>645</v>
      </c>
      <c r="C205" s="41" t="s">
        <v>646</v>
      </c>
      <c r="D205" s="41"/>
      <c r="E205" s="41" t="s">
        <v>17</v>
      </c>
      <c r="F205" s="41">
        <v>2025</v>
      </c>
      <c r="G205" s="41" t="s">
        <v>1346</v>
      </c>
      <c r="H205" s="41"/>
      <c r="I205" s="43"/>
      <c r="J205" s="41"/>
      <c r="K205" s="41"/>
      <c r="L205" s="41" t="s">
        <v>73</v>
      </c>
      <c r="M205" s="41">
        <v>100000</v>
      </c>
      <c r="N205" s="41" t="s">
        <v>647</v>
      </c>
      <c r="O205" s="41" t="s">
        <v>146</v>
      </c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  <c r="AB205" s="41"/>
      <c r="AC205" s="41"/>
      <c r="AD205" s="41"/>
      <c r="AE205" s="41"/>
      <c r="AF205" s="41"/>
      <c r="AG205" s="42"/>
      <c r="AH205" s="41"/>
      <c r="AI205" s="41"/>
      <c r="AJ205" s="41"/>
      <c r="AK205" s="41"/>
      <c r="AL205" s="41"/>
      <c r="AM205" s="41"/>
      <c r="AN205" s="41"/>
      <c r="AO205" s="41"/>
      <c r="AP205" s="41"/>
      <c r="AQ205" s="41"/>
      <c r="AR205" s="41"/>
      <c r="AS205" s="41"/>
      <c r="AT205" s="41"/>
      <c r="AU205" s="41"/>
      <c r="AV205" s="41"/>
      <c r="AW205" s="41"/>
      <c r="AX205" s="41"/>
      <c r="AY205" s="41"/>
      <c r="AZ205" s="41"/>
      <c r="BA205" s="41"/>
      <c r="BB205" s="41"/>
      <c r="BC205" s="41"/>
      <c r="BD205" s="42"/>
      <c r="BE205" s="41"/>
      <c r="BF205" s="41"/>
      <c r="BG205" s="41"/>
      <c r="BH205" s="42"/>
      <c r="BI205" s="41"/>
      <c r="BJ205" s="41"/>
    </row>
    <row r="206" spans="1:62" s="38" customFormat="1" x14ac:dyDescent="0.25">
      <c r="A206" s="41"/>
      <c r="B206" s="41" t="s">
        <v>90</v>
      </c>
      <c r="C206" s="41" t="s">
        <v>648</v>
      </c>
      <c r="D206" s="41"/>
      <c r="E206" s="41" t="s">
        <v>17</v>
      </c>
      <c r="F206" s="41">
        <v>2025</v>
      </c>
      <c r="G206" s="41" t="s">
        <v>1346</v>
      </c>
      <c r="H206" s="41"/>
      <c r="I206" s="43"/>
      <c r="J206" s="41"/>
      <c r="K206" s="41"/>
      <c r="L206" s="41" t="s">
        <v>268</v>
      </c>
      <c r="M206" s="41">
        <v>100963</v>
      </c>
      <c r="N206" s="41" t="s">
        <v>649</v>
      </c>
      <c r="O206" s="41" t="s">
        <v>111</v>
      </c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  <c r="AB206" s="41"/>
      <c r="AC206" s="41"/>
      <c r="AD206" s="41"/>
      <c r="AE206" s="41"/>
      <c r="AF206" s="41"/>
      <c r="AG206" s="42"/>
      <c r="AH206" s="41"/>
      <c r="AI206" s="41"/>
      <c r="AJ206" s="41"/>
      <c r="AK206" s="41"/>
      <c r="AL206" s="41"/>
      <c r="AM206" s="41"/>
      <c r="AN206" s="41"/>
      <c r="AO206" s="41"/>
      <c r="AP206" s="41"/>
      <c r="AQ206" s="41"/>
      <c r="AR206" s="41"/>
      <c r="AS206" s="41"/>
      <c r="AT206" s="41"/>
      <c r="AU206" s="41"/>
      <c r="AV206" s="41"/>
      <c r="AW206" s="41"/>
      <c r="AX206" s="41"/>
      <c r="AY206" s="41"/>
      <c r="AZ206" s="41"/>
      <c r="BA206" s="41"/>
      <c r="BB206" s="41"/>
      <c r="BC206" s="41"/>
      <c r="BD206" s="42"/>
      <c r="BE206" s="41"/>
      <c r="BF206" s="41"/>
      <c r="BG206" s="41"/>
      <c r="BH206" s="42"/>
      <c r="BI206" s="41"/>
      <c r="BJ206" s="41"/>
    </row>
    <row r="207" spans="1:62" s="38" customFormat="1" x14ac:dyDescent="0.25">
      <c r="A207" s="41"/>
      <c r="B207" s="41" t="s">
        <v>650</v>
      </c>
      <c r="C207" s="41" t="s">
        <v>651</v>
      </c>
      <c r="D207" s="41"/>
      <c r="E207" s="41" t="s">
        <v>17</v>
      </c>
      <c r="F207" s="41">
        <v>2025</v>
      </c>
      <c r="G207" s="41" t="s">
        <v>1346</v>
      </c>
      <c r="H207" s="41"/>
      <c r="I207" s="43"/>
      <c r="J207" s="41"/>
      <c r="K207" s="41"/>
      <c r="L207" s="41" t="s">
        <v>268</v>
      </c>
      <c r="M207" s="41">
        <v>100996</v>
      </c>
      <c r="N207" s="41" t="s">
        <v>652</v>
      </c>
      <c r="O207" s="41" t="s">
        <v>99</v>
      </c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  <c r="AB207" s="41"/>
      <c r="AC207" s="41"/>
      <c r="AD207" s="41"/>
      <c r="AE207" s="41"/>
      <c r="AF207" s="41"/>
      <c r="AG207" s="42"/>
      <c r="AH207" s="41"/>
      <c r="AI207" s="41"/>
      <c r="AJ207" s="41"/>
      <c r="AK207" s="41"/>
      <c r="AL207" s="41"/>
      <c r="AM207" s="41"/>
      <c r="AN207" s="41"/>
      <c r="AO207" s="41"/>
      <c r="AP207" s="41"/>
      <c r="AQ207" s="41"/>
      <c r="AR207" s="41"/>
      <c r="AS207" s="41"/>
      <c r="AT207" s="41"/>
      <c r="AU207" s="41"/>
      <c r="AV207" s="41"/>
      <c r="AW207" s="41"/>
      <c r="AX207" s="41"/>
      <c r="AY207" s="41"/>
      <c r="AZ207" s="41"/>
      <c r="BA207" s="41"/>
      <c r="BB207" s="41"/>
      <c r="BC207" s="41"/>
      <c r="BD207" s="42"/>
      <c r="BE207" s="41"/>
      <c r="BF207" s="41"/>
      <c r="BG207" s="41"/>
      <c r="BH207" s="42"/>
      <c r="BI207" s="41"/>
      <c r="BJ207" s="41"/>
    </row>
    <row r="208" spans="1:62" s="38" customFormat="1" x14ac:dyDescent="0.25">
      <c r="A208" s="41"/>
      <c r="B208" s="41" t="s">
        <v>653</v>
      </c>
      <c r="C208" s="41" t="s">
        <v>654</v>
      </c>
      <c r="D208" s="41"/>
      <c r="E208" s="41" t="s">
        <v>17</v>
      </c>
      <c r="F208" s="41">
        <v>2025</v>
      </c>
      <c r="G208" s="41" t="s">
        <v>1346</v>
      </c>
      <c r="H208" s="41"/>
      <c r="I208" s="43"/>
      <c r="J208" s="41"/>
      <c r="K208" s="41"/>
      <c r="L208" s="41" t="s">
        <v>73</v>
      </c>
      <c r="M208" s="41">
        <v>50969</v>
      </c>
      <c r="N208" s="41" t="s">
        <v>655</v>
      </c>
      <c r="O208" s="41" t="s">
        <v>258</v>
      </c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  <c r="AB208" s="41"/>
      <c r="AC208" s="41"/>
      <c r="AD208" s="41"/>
      <c r="AE208" s="41"/>
      <c r="AF208" s="41"/>
      <c r="AG208" s="42"/>
      <c r="AH208" s="41"/>
      <c r="AI208" s="41"/>
      <c r="AJ208" s="41"/>
      <c r="AK208" s="41"/>
      <c r="AL208" s="41"/>
      <c r="AM208" s="41"/>
      <c r="AN208" s="41"/>
      <c r="AO208" s="41"/>
      <c r="AP208" s="41"/>
      <c r="AQ208" s="41"/>
      <c r="AR208" s="41"/>
      <c r="AS208" s="41"/>
      <c r="AT208" s="41"/>
      <c r="AU208" s="41"/>
      <c r="AV208" s="41"/>
      <c r="AW208" s="41"/>
      <c r="AX208" s="41"/>
      <c r="AY208" s="41"/>
      <c r="AZ208" s="41"/>
      <c r="BA208" s="41"/>
      <c r="BB208" s="41"/>
      <c r="BC208" s="41"/>
      <c r="BD208" s="42"/>
      <c r="BE208" s="41"/>
      <c r="BF208" s="41"/>
      <c r="BG208" s="41"/>
      <c r="BH208" s="42"/>
      <c r="BI208" s="41"/>
      <c r="BJ208" s="41"/>
    </row>
    <row r="209" spans="1:62" s="38" customFormat="1" x14ac:dyDescent="0.25">
      <c r="A209" s="41"/>
      <c r="B209" s="41" t="s">
        <v>656</v>
      </c>
      <c r="C209" s="41" t="s">
        <v>657</v>
      </c>
      <c r="D209" s="41"/>
      <c r="E209" s="41" t="s">
        <v>17</v>
      </c>
      <c r="F209" s="41">
        <v>2025</v>
      </c>
      <c r="G209" s="41" t="s">
        <v>1346</v>
      </c>
      <c r="H209" s="41"/>
      <c r="I209" s="43"/>
      <c r="J209" s="41"/>
      <c r="K209" s="41"/>
      <c r="L209" s="41" t="s">
        <v>268</v>
      </c>
      <c r="M209" s="41">
        <v>100911</v>
      </c>
      <c r="N209" s="41" t="s">
        <v>658</v>
      </c>
      <c r="O209" s="41" t="s">
        <v>258</v>
      </c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  <c r="AB209" s="41"/>
      <c r="AC209" s="41"/>
      <c r="AD209" s="41"/>
      <c r="AE209" s="41"/>
      <c r="AF209" s="41"/>
      <c r="AG209" s="42"/>
      <c r="AH209" s="41"/>
      <c r="AI209" s="41"/>
      <c r="AJ209" s="41"/>
      <c r="AK209" s="41"/>
      <c r="AL209" s="41"/>
      <c r="AM209" s="41"/>
      <c r="AN209" s="41"/>
      <c r="AO209" s="41"/>
      <c r="AP209" s="41"/>
      <c r="AQ209" s="41"/>
      <c r="AR209" s="41"/>
      <c r="AS209" s="41"/>
      <c r="AT209" s="41"/>
      <c r="AU209" s="41"/>
      <c r="AV209" s="41"/>
      <c r="AW209" s="41"/>
      <c r="AX209" s="41"/>
      <c r="AY209" s="41"/>
      <c r="AZ209" s="41"/>
      <c r="BA209" s="41"/>
      <c r="BB209" s="41"/>
      <c r="BC209" s="41"/>
      <c r="BD209" s="42"/>
      <c r="BE209" s="41"/>
      <c r="BF209" s="41"/>
      <c r="BG209" s="41"/>
      <c r="BH209" s="42"/>
      <c r="BI209" s="41"/>
      <c r="BJ209" s="41"/>
    </row>
    <row r="210" spans="1:62" s="38" customFormat="1" x14ac:dyDescent="0.25">
      <c r="A210" s="41"/>
      <c r="B210" s="41" t="s">
        <v>659</v>
      </c>
      <c r="C210" s="41" t="s">
        <v>660</v>
      </c>
      <c r="D210" s="41"/>
      <c r="E210" s="41" t="s">
        <v>17</v>
      </c>
      <c r="F210" s="41">
        <v>2025</v>
      </c>
      <c r="G210" s="41" t="s">
        <v>1346</v>
      </c>
      <c r="H210" s="41"/>
      <c r="I210" s="43"/>
      <c r="J210" s="41"/>
      <c r="K210" s="41"/>
      <c r="L210" s="41" t="s">
        <v>73</v>
      </c>
      <c r="M210" s="41">
        <v>100908</v>
      </c>
      <c r="N210" s="41" t="s">
        <v>661</v>
      </c>
      <c r="O210" s="41" t="s">
        <v>146</v>
      </c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  <c r="AB210" s="41"/>
      <c r="AC210" s="41"/>
      <c r="AD210" s="41"/>
      <c r="AE210" s="41"/>
      <c r="AF210" s="41"/>
      <c r="AG210" s="42"/>
      <c r="AH210" s="41"/>
      <c r="AI210" s="41"/>
      <c r="AJ210" s="41"/>
      <c r="AK210" s="41"/>
      <c r="AL210" s="41"/>
      <c r="AM210" s="41"/>
      <c r="AN210" s="41"/>
      <c r="AO210" s="41"/>
      <c r="AP210" s="41"/>
      <c r="AQ210" s="41"/>
      <c r="AR210" s="41"/>
      <c r="AS210" s="41"/>
      <c r="AT210" s="41"/>
      <c r="AU210" s="41"/>
      <c r="AV210" s="41"/>
      <c r="AW210" s="41"/>
      <c r="AX210" s="41"/>
      <c r="AY210" s="41"/>
      <c r="AZ210" s="41"/>
      <c r="BA210" s="41"/>
      <c r="BB210" s="41"/>
      <c r="BC210" s="41"/>
      <c r="BD210" s="42"/>
      <c r="BE210" s="41"/>
      <c r="BF210" s="41"/>
      <c r="BG210" s="41"/>
      <c r="BH210" s="42"/>
      <c r="BI210" s="41"/>
      <c r="BJ210" s="41"/>
    </row>
    <row r="211" spans="1:62" s="38" customFormat="1" x14ac:dyDescent="0.25">
      <c r="A211" s="41"/>
      <c r="B211" s="41" t="s">
        <v>662</v>
      </c>
      <c r="C211" s="41" t="s">
        <v>663</v>
      </c>
      <c r="D211" s="41"/>
      <c r="E211" s="41" t="s">
        <v>17</v>
      </c>
      <c r="F211" s="41">
        <v>2025</v>
      </c>
      <c r="G211" s="41" t="s">
        <v>1346</v>
      </c>
      <c r="H211" s="41"/>
      <c r="I211" s="43"/>
      <c r="J211" s="41"/>
      <c r="K211" s="41"/>
      <c r="L211" s="41" t="s">
        <v>77</v>
      </c>
      <c r="M211" s="41">
        <v>50968</v>
      </c>
      <c r="N211" s="41" t="s">
        <v>664</v>
      </c>
      <c r="O211" s="41" t="s">
        <v>379</v>
      </c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  <c r="AB211" s="41"/>
      <c r="AC211" s="41"/>
      <c r="AD211" s="41"/>
      <c r="AE211" s="41"/>
      <c r="AF211" s="41"/>
      <c r="AG211" s="42"/>
      <c r="AH211" s="41"/>
      <c r="AI211" s="41"/>
      <c r="AJ211" s="41"/>
      <c r="AK211" s="41"/>
      <c r="AL211" s="41"/>
      <c r="AM211" s="41"/>
      <c r="AN211" s="41"/>
      <c r="AO211" s="41"/>
      <c r="AP211" s="41"/>
      <c r="AQ211" s="41"/>
      <c r="AR211" s="41"/>
      <c r="AS211" s="41"/>
      <c r="AT211" s="41"/>
      <c r="AU211" s="41"/>
      <c r="AV211" s="41"/>
      <c r="AW211" s="41"/>
      <c r="AX211" s="41"/>
      <c r="AY211" s="41"/>
      <c r="AZ211" s="41"/>
      <c r="BA211" s="41"/>
      <c r="BB211" s="41"/>
      <c r="BC211" s="41"/>
      <c r="BD211" s="42"/>
      <c r="BE211" s="41"/>
      <c r="BF211" s="41"/>
      <c r="BG211" s="41"/>
      <c r="BH211" s="42"/>
      <c r="BI211" s="41"/>
      <c r="BJ211" s="41"/>
    </row>
    <row r="212" spans="1:62" s="38" customFormat="1" x14ac:dyDescent="0.25">
      <c r="A212" s="41"/>
      <c r="B212" s="41" t="s">
        <v>665</v>
      </c>
      <c r="C212" s="41" t="s">
        <v>666</v>
      </c>
      <c r="D212" s="41"/>
      <c r="E212" s="41" t="s">
        <v>17</v>
      </c>
      <c r="F212" s="41">
        <v>2025</v>
      </c>
      <c r="G212" s="41" t="s">
        <v>1346</v>
      </c>
      <c r="H212" s="41"/>
      <c r="I212" s="43"/>
      <c r="J212" s="41"/>
      <c r="K212" s="41"/>
      <c r="L212" s="41" t="s">
        <v>73</v>
      </c>
      <c r="M212" s="41">
        <v>100908</v>
      </c>
      <c r="N212" s="41" t="s">
        <v>667</v>
      </c>
      <c r="O212" s="41" t="s">
        <v>272</v>
      </c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  <c r="AB212" s="41"/>
      <c r="AC212" s="41"/>
      <c r="AD212" s="41"/>
      <c r="AE212" s="41"/>
      <c r="AF212" s="41"/>
      <c r="AG212" s="42"/>
      <c r="AH212" s="41"/>
      <c r="AI212" s="41"/>
      <c r="AJ212" s="41"/>
      <c r="AK212" s="41"/>
      <c r="AL212" s="41"/>
      <c r="AM212" s="41"/>
      <c r="AN212" s="41"/>
      <c r="AO212" s="41"/>
      <c r="AP212" s="41"/>
      <c r="AQ212" s="41"/>
      <c r="AR212" s="41"/>
      <c r="AS212" s="41"/>
      <c r="AT212" s="41"/>
      <c r="AU212" s="41"/>
      <c r="AV212" s="41"/>
      <c r="AW212" s="41"/>
      <c r="AX212" s="41"/>
      <c r="AY212" s="41"/>
      <c r="AZ212" s="41"/>
      <c r="BA212" s="41"/>
      <c r="BB212" s="41"/>
      <c r="BC212" s="41"/>
      <c r="BD212" s="42"/>
      <c r="BE212" s="41"/>
      <c r="BF212" s="41"/>
      <c r="BG212" s="41"/>
      <c r="BH212" s="42"/>
      <c r="BI212" s="41"/>
      <c r="BJ212" s="41"/>
    </row>
    <row r="213" spans="1:62" s="38" customFormat="1" x14ac:dyDescent="0.25">
      <c r="A213" s="41"/>
      <c r="B213" s="41" t="s">
        <v>668</v>
      </c>
      <c r="C213" s="41" t="s">
        <v>669</v>
      </c>
      <c r="D213" s="41"/>
      <c r="E213" s="41" t="s">
        <v>17</v>
      </c>
      <c r="F213" s="41">
        <v>2025</v>
      </c>
      <c r="G213" s="41" t="s">
        <v>1346</v>
      </c>
      <c r="H213" s="41"/>
      <c r="I213" s="43"/>
      <c r="J213" s="41"/>
      <c r="K213" s="41"/>
      <c r="L213" s="41" t="s">
        <v>73</v>
      </c>
      <c r="M213" s="41">
        <v>100944</v>
      </c>
      <c r="N213" s="41" t="s">
        <v>670</v>
      </c>
      <c r="O213" s="41" t="s">
        <v>67</v>
      </c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  <c r="AB213" s="41"/>
      <c r="AC213" s="41"/>
      <c r="AD213" s="41"/>
      <c r="AE213" s="41"/>
      <c r="AF213" s="41"/>
      <c r="AG213" s="42"/>
      <c r="AH213" s="41"/>
      <c r="AI213" s="41"/>
      <c r="AJ213" s="41"/>
      <c r="AK213" s="41"/>
      <c r="AL213" s="41"/>
      <c r="AM213" s="41"/>
      <c r="AN213" s="41"/>
      <c r="AO213" s="41"/>
      <c r="AP213" s="41"/>
      <c r="AQ213" s="41"/>
      <c r="AR213" s="41"/>
      <c r="AS213" s="41"/>
      <c r="AT213" s="41"/>
      <c r="AU213" s="41"/>
      <c r="AV213" s="41"/>
      <c r="AW213" s="41"/>
      <c r="AX213" s="41"/>
      <c r="AY213" s="41"/>
      <c r="AZ213" s="41"/>
      <c r="BA213" s="41"/>
      <c r="BB213" s="41"/>
      <c r="BC213" s="41"/>
      <c r="BD213" s="42"/>
      <c r="BE213" s="41"/>
      <c r="BF213" s="41"/>
      <c r="BG213" s="41"/>
      <c r="BH213" s="42"/>
      <c r="BI213" s="41"/>
      <c r="BJ213" s="41"/>
    </row>
    <row r="214" spans="1:62" s="38" customFormat="1" x14ac:dyDescent="0.25">
      <c r="A214" s="41"/>
      <c r="B214" s="41" t="s">
        <v>671</v>
      </c>
      <c r="C214" s="41" t="s">
        <v>672</v>
      </c>
      <c r="D214" s="41"/>
      <c r="E214" s="41" t="s">
        <v>17</v>
      </c>
      <c r="F214" s="41">
        <v>2025</v>
      </c>
      <c r="G214" s="41" t="s">
        <v>1346</v>
      </c>
      <c r="H214" s="41"/>
      <c r="I214" s="43"/>
      <c r="J214" s="41"/>
      <c r="K214" s="41"/>
      <c r="L214" s="41" t="s">
        <v>299</v>
      </c>
      <c r="M214" s="41">
        <v>50982</v>
      </c>
      <c r="N214" s="41" t="s">
        <v>673</v>
      </c>
      <c r="O214" s="41" t="s">
        <v>266</v>
      </c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41"/>
      <c r="AC214" s="41"/>
      <c r="AD214" s="41"/>
      <c r="AE214" s="41"/>
      <c r="AF214" s="41"/>
      <c r="AG214" s="42"/>
      <c r="AH214" s="41"/>
      <c r="AI214" s="41"/>
      <c r="AJ214" s="41"/>
      <c r="AK214" s="41"/>
      <c r="AL214" s="41"/>
      <c r="AM214" s="41"/>
      <c r="AN214" s="41"/>
      <c r="AO214" s="41"/>
      <c r="AP214" s="41"/>
      <c r="AQ214" s="41"/>
      <c r="AR214" s="41"/>
      <c r="AS214" s="41"/>
      <c r="AT214" s="41"/>
      <c r="AU214" s="41"/>
      <c r="AV214" s="41"/>
      <c r="AW214" s="41"/>
      <c r="AX214" s="41"/>
      <c r="AY214" s="41"/>
      <c r="AZ214" s="41"/>
      <c r="BA214" s="41"/>
      <c r="BB214" s="41"/>
      <c r="BC214" s="41"/>
      <c r="BD214" s="42"/>
      <c r="BE214" s="41"/>
      <c r="BF214" s="41"/>
      <c r="BG214" s="41"/>
      <c r="BH214" s="42"/>
      <c r="BI214" s="41"/>
      <c r="BJ214" s="41"/>
    </row>
    <row r="215" spans="1:62" s="38" customFormat="1" x14ac:dyDescent="0.25">
      <c r="A215" s="41"/>
      <c r="B215" s="41" t="s">
        <v>674</v>
      </c>
      <c r="C215" s="41" t="s">
        <v>675</v>
      </c>
      <c r="D215" s="41"/>
      <c r="E215" s="41" t="s">
        <v>17</v>
      </c>
      <c r="F215" s="41">
        <v>2025</v>
      </c>
      <c r="G215" s="41" t="s">
        <v>1346</v>
      </c>
      <c r="H215" s="41"/>
      <c r="I215" s="43"/>
      <c r="J215" s="41"/>
      <c r="K215" s="41"/>
      <c r="L215" s="41" t="s">
        <v>77</v>
      </c>
      <c r="M215" s="41">
        <v>50992</v>
      </c>
      <c r="N215" s="41" t="s">
        <v>676</v>
      </c>
      <c r="O215" s="41" t="s">
        <v>146</v>
      </c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  <c r="AB215" s="41"/>
      <c r="AC215" s="41"/>
      <c r="AD215" s="41"/>
      <c r="AE215" s="41"/>
      <c r="AF215" s="41"/>
      <c r="AG215" s="42"/>
      <c r="AH215" s="41"/>
      <c r="AI215" s="41"/>
      <c r="AJ215" s="41"/>
      <c r="AK215" s="41"/>
      <c r="AL215" s="41"/>
      <c r="AM215" s="41"/>
      <c r="AN215" s="41"/>
      <c r="AO215" s="41"/>
      <c r="AP215" s="41"/>
      <c r="AQ215" s="41"/>
      <c r="AR215" s="41"/>
      <c r="AS215" s="41"/>
      <c r="AT215" s="41"/>
      <c r="AU215" s="41"/>
      <c r="AV215" s="41"/>
      <c r="AW215" s="41"/>
      <c r="AX215" s="41"/>
      <c r="AY215" s="41"/>
      <c r="AZ215" s="41"/>
      <c r="BA215" s="41"/>
      <c r="BB215" s="41"/>
      <c r="BC215" s="41"/>
      <c r="BD215" s="42"/>
      <c r="BE215" s="41"/>
      <c r="BF215" s="41"/>
      <c r="BG215" s="41"/>
      <c r="BH215" s="42"/>
      <c r="BI215" s="41"/>
      <c r="BJ215" s="41"/>
    </row>
    <row r="216" spans="1:62" s="38" customFormat="1" x14ac:dyDescent="0.25">
      <c r="A216" s="41"/>
      <c r="B216" s="41" t="s">
        <v>677</v>
      </c>
      <c r="C216" s="41" t="s">
        <v>678</v>
      </c>
      <c r="D216" s="41"/>
      <c r="E216" s="41" t="s">
        <v>17</v>
      </c>
      <c r="F216" s="41">
        <v>2025</v>
      </c>
      <c r="G216" s="41" t="s">
        <v>1346</v>
      </c>
      <c r="H216" s="41"/>
      <c r="I216" s="43"/>
      <c r="J216" s="41"/>
      <c r="K216" s="41"/>
      <c r="L216" s="41" t="s">
        <v>77</v>
      </c>
      <c r="M216" s="41">
        <v>200921</v>
      </c>
      <c r="N216" s="41" t="s">
        <v>679</v>
      </c>
      <c r="O216" s="41" t="s">
        <v>272</v>
      </c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  <c r="AB216" s="41"/>
      <c r="AC216" s="41"/>
      <c r="AD216" s="41"/>
      <c r="AE216" s="41"/>
      <c r="AF216" s="41"/>
      <c r="AG216" s="42"/>
      <c r="AH216" s="41"/>
      <c r="AI216" s="41"/>
      <c r="AJ216" s="41"/>
      <c r="AK216" s="41"/>
      <c r="AL216" s="41"/>
      <c r="AM216" s="41"/>
      <c r="AN216" s="41"/>
      <c r="AO216" s="41"/>
      <c r="AP216" s="41"/>
      <c r="AQ216" s="41"/>
      <c r="AR216" s="41"/>
      <c r="AS216" s="41"/>
      <c r="AT216" s="41"/>
      <c r="AU216" s="41"/>
      <c r="AV216" s="41"/>
      <c r="AW216" s="41"/>
      <c r="AX216" s="41"/>
      <c r="AY216" s="41"/>
      <c r="AZ216" s="41"/>
      <c r="BA216" s="41"/>
      <c r="BB216" s="41"/>
      <c r="BC216" s="41"/>
      <c r="BD216" s="42"/>
      <c r="BE216" s="41"/>
      <c r="BF216" s="41"/>
      <c r="BG216" s="41"/>
      <c r="BH216" s="42"/>
      <c r="BI216" s="41"/>
      <c r="BJ216" s="41"/>
    </row>
    <row r="217" spans="1:62" s="38" customFormat="1" x14ac:dyDescent="0.25">
      <c r="A217" s="41"/>
      <c r="B217" s="41" t="s">
        <v>680</v>
      </c>
      <c r="C217" s="41" t="s">
        <v>681</v>
      </c>
      <c r="D217" s="41"/>
      <c r="E217" s="41" t="s">
        <v>17</v>
      </c>
      <c r="F217" s="41">
        <v>2025</v>
      </c>
      <c r="G217" s="41" t="s">
        <v>1346</v>
      </c>
      <c r="H217" s="41"/>
      <c r="I217" s="43"/>
      <c r="J217" s="41"/>
      <c r="K217" s="41"/>
      <c r="L217" s="41" t="s">
        <v>268</v>
      </c>
      <c r="M217" s="41">
        <v>50000</v>
      </c>
      <c r="N217" s="41" t="s">
        <v>682</v>
      </c>
      <c r="O217" s="41" t="s">
        <v>386</v>
      </c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  <c r="AB217" s="41"/>
      <c r="AC217" s="41"/>
      <c r="AD217" s="41"/>
      <c r="AE217" s="41"/>
      <c r="AF217" s="41"/>
      <c r="AG217" s="42"/>
      <c r="AH217" s="41"/>
      <c r="AI217" s="41"/>
      <c r="AJ217" s="41"/>
      <c r="AK217" s="41"/>
      <c r="AL217" s="41"/>
      <c r="AM217" s="41"/>
      <c r="AN217" s="41"/>
      <c r="AO217" s="41"/>
      <c r="AP217" s="41"/>
      <c r="AQ217" s="41"/>
      <c r="AR217" s="41"/>
      <c r="AS217" s="41"/>
      <c r="AT217" s="41"/>
      <c r="AU217" s="41"/>
      <c r="AV217" s="41"/>
      <c r="AW217" s="41"/>
      <c r="AX217" s="41"/>
      <c r="AY217" s="41"/>
      <c r="AZ217" s="41"/>
      <c r="BA217" s="41"/>
      <c r="BB217" s="41"/>
      <c r="BC217" s="41"/>
      <c r="BD217" s="42"/>
      <c r="BE217" s="41"/>
      <c r="BF217" s="41"/>
      <c r="BG217" s="41"/>
      <c r="BH217" s="42"/>
      <c r="BI217" s="41"/>
      <c r="BJ217" s="41"/>
    </row>
    <row r="218" spans="1:62" s="38" customFormat="1" x14ac:dyDescent="0.25">
      <c r="A218" s="41"/>
      <c r="B218" s="41" t="s">
        <v>683</v>
      </c>
      <c r="C218" s="41" t="s">
        <v>684</v>
      </c>
      <c r="D218" s="41"/>
      <c r="E218" s="41" t="s">
        <v>17</v>
      </c>
      <c r="F218" s="41">
        <v>2025</v>
      </c>
      <c r="G218" s="41" t="s">
        <v>1346</v>
      </c>
      <c r="H218" s="41"/>
      <c r="I218" s="43"/>
      <c r="J218" s="41"/>
      <c r="K218" s="41"/>
      <c r="L218" s="41" t="s">
        <v>65</v>
      </c>
      <c r="M218" s="41">
        <v>25900</v>
      </c>
      <c r="N218" s="41" t="s">
        <v>685</v>
      </c>
      <c r="O218" s="41" t="s">
        <v>106</v>
      </c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  <c r="AB218" s="41"/>
      <c r="AC218" s="41"/>
      <c r="AD218" s="41"/>
      <c r="AE218" s="41"/>
      <c r="AF218" s="41"/>
      <c r="AG218" s="42"/>
      <c r="AH218" s="41"/>
      <c r="AI218" s="41"/>
      <c r="AJ218" s="41"/>
      <c r="AK218" s="41"/>
      <c r="AL218" s="41"/>
      <c r="AM218" s="41"/>
      <c r="AN218" s="41"/>
      <c r="AO218" s="41"/>
      <c r="AP218" s="41"/>
      <c r="AQ218" s="41"/>
      <c r="AR218" s="41"/>
      <c r="AS218" s="41"/>
      <c r="AT218" s="41"/>
      <c r="AU218" s="41"/>
      <c r="AV218" s="41"/>
      <c r="AW218" s="41"/>
      <c r="AX218" s="41"/>
      <c r="AY218" s="41"/>
      <c r="AZ218" s="41"/>
      <c r="BA218" s="41"/>
      <c r="BB218" s="41"/>
      <c r="BC218" s="41"/>
      <c r="BD218" s="42"/>
      <c r="BE218" s="41"/>
      <c r="BF218" s="41"/>
      <c r="BG218" s="41"/>
      <c r="BH218" s="42"/>
      <c r="BI218" s="41"/>
      <c r="BJ218" s="41"/>
    </row>
    <row r="219" spans="1:62" s="38" customFormat="1" x14ac:dyDescent="0.25">
      <c r="A219" s="41"/>
      <c r="B219" s="41" t="s">
        <v>222</v>
      </c>
      <c r="C219" s="41" t="s">
        <v>686</v>
      </c>
      <c r="D219" s="41"/>
      <c r="E219" s="41" t="s">
        <v>17</v>
      </c>
      <c r="F219" s="41">
        <v>2025</v>
      </c>
      <c r="G219" s="41" t="s">
        <v>1346</v>
      </c>
      <c r="H219" s="41"/>
      <c r="I219" s="43"/>
      <c r="J219" s="41"/>
      <c r="K219" s="41"/>
      <c r="L219" s="41" t="s">
        <v>73</v>
      </c>
      <c r="M219" s="41">
        <v>100989</v>
      </c>
      <c r="N219" s="41" t="s">
        <v>687</v>
      </c>
      <c r="O219" s="41" t="s">
        <v>67</v>
      </c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  <c r="AB219" s="41"/>
      <c r="AC219" s="41"/>
      <c r="AD219" s="41"/>
      <c r="AE219" s="41"/>
      <c r="AF219" s="41"/>
      <c r="AG219" s="42"/>
      <c r="AH219" s="41"/>
      <c r="AI219" s="41"/>
      <c r="AJ219" s="41"/>
      <c r="AK219" s="41"/>
      <c r="AL219" s="41"/>
      <c r="AM219" s="41"/>
      <c r="AN219" s="41"/>
      <c r="AO219" s="41"/>
      <c r="AP219" s="41"/>
      <c r="AQ219" s="41"/>
      <c r="AR219" s="41"/>
      <c r="AS219" s="41"/>
      <c r="AT219" s="41"/>
      <c r="AU219" s="41"/>
      <c r="AV219" s="41"/>
      <c r="AW219" s="41"/>
      <c r="AX219" s="41"/>
      <c r="AY219" s="41"/>
      <c r="AZ219" s="41"/>
      <c r="BA219" s="41"/>
      <c r="BB219" s="41"/>
      <c r="BC219" s="41"/>
      <c r="BD219" s="42"/>
      <c r="BE219" s="41"/>
      <c r="BF219" s="41"/>
      <c r="BG219" s="41"/>
      <c r="BH219" s="42"/>
      <c r="BI219" s="41"/>
      <c r="BJ219" s="41"/>
    </row>
    <row r="220" spans="1:62" s="38" customFormat="1" x14ac:dyDescent="0.25">
      <c r="A220" s="41"/>
      <c r="B220" s="41" t="s">
        <v>688</v>
      </c>
      <c r="C220" s="41" t="s">
        <v>689</v>
      </c>
      <c r="D220" s="41"/>
      <c r="E220" s="41" t="s">
        <v>17</v>
      </c>
      <c r="F220" s="41">
        <v>2025</v>
      </c>
      <c r="G220" s="41" t="s">
        <v>1346</v>
      </c>
      <c r="H220" s="41"/>
      <c r="I220" s="43"/>
      <c r="J220" s="41"/>
      <c r="K220" s="41"/>
      <c r="L220" s="41" t="s">
        <v>268</v>
      </c>
      <c r="M220" s="41">
        <v>100988</v>
      </c>
      <c r="N220" s="41" t="s">
        <v>690</v>
      </c>
      <c r="O220" s="41" t="s">
        <v>67</v>
      </c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  <c r="AB220" s="41"/>
      <c r="AC220" s="41"/>
      <c r="AD220" s="41"/>
      <c r="AE220" s="41"/>
      <c r="AF220" s="41"/>
      <c r="AG220" s="42"/>
      <c r="AH220" s="41"/>
      <c r="AI220" s="41"/>
      <c r="AJ220" s="41"/>
      <c r="AK220" s="41"/>
      <c r="AL220" s="41"/>
      <c r="AM220" s="41"/>
      <c r="AN220" s="41"/>
      <c r="AO220" s="41"/>
      <c r="AP220" s="41"/>
      <c r="AQ220" s="41"/>
      <c r="AR220" s="41"/>
      <c r="AS220" s="41"/>
      <c r="AT220" s="41"/>
      <c r="AU220" s="41"/>
      <c r="AV220" s="41"/>
      <c r="AW220" s="41"/>
      <c r="AX220" s="41"/>
      <c r="AY220" s="41"/>
      <c r="AZ220" s="41"/>
      <c r="BA220" s="41"/>
      <c r="BB220" s="41"/>
      <c r="BC220" s="41"/>
      <c r="BD220" s="42"/>
      <c r="BE220" s="41"/>
      <c r="BF220" s="41"/>
      <c r="BG220" s="41"/>
      <c r="BH220" s="42"/>
      <c r="BI220" s="41"/>
      <c r="BJ220" s="41"/>
    </row>
    <row r="221" spans="1:62" s="38" customFormat="1" x14ac:dyDescent="0.25">
      <c r="A221" s="41"/>
      <c r="B221" s="41" t="s">
        <v>691</v>
      </c>
      <c r="C221" s="41" t="s">
        <v>692</v>
      </c>
      <c r="D221" s="41"/>
      <c r="E221" s="41" t="s">
        <v>17</v>
      </c>
      <c r="F221" s="41">
        <v>2025</v>
      </c>
      <c r="G221" s="41" t="s">
        <v>1346</v>
      </c>
      <c r="H221" s="41"/>
      <c r="I221" s="43"/>
      <c r="J221" s="41"/>
      <c r="K221" s="41"/>
      <c r="L221" s="41" t="s">
        <v>73</v>
      </c>
      <c r="M221" s="41">
        <v>50952</v>
      </c>
      <c r="N221" s="41" t="s">
        <v>693</v>
      </c>
      <c r="O221" s="41" t="s">
        <v>99</v>
      </c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  <c r="AC221" s="41"/>
      <c r="AD221" s="41"/>
      <c r="AE221" s="41"/>
      <c r="AF221" s="41"/>
      <c r="AG221" s="42"/>
      <c r="AH221" s="41"/>
      <c r="AI221" s="41"/>
      <c r="AJ221" s="41"/>
      <c r="AK221" s="41"/>
      <c r="AL221" s="41"/>
      <c r="AM221" s="41"/>
      <c r="AN221" s="41"/>
      <c r="AO221" s="41"/>
      <c r="AP221" s="41"/>
      <c r="AQ221" s="41"/>
      <c r="AR221" s="41"/>
      <c r="AS221" s="41"/>
      <c r="AT221" s="41"/>
      <c r="AU221" s="41"/>
      <c r="AV221" s="41"/>
      <c r="AW221" s="41"/>
      <c r="AX221" s="41"/>
      <c r="AY221" s="41"/>
      <c r="AZ221" s="41"/>
      <c r="BA221" s="41"/>
      <c r="BB221" s="41"/>
      <c r="BC221" s="41"/>
      <c r="BD221" s="42"/>
      <c r="BE221" s="41"/>
      <c r="BF221" s="41"/>
      <c r="BG221" s="41"/>
      <c r="BH221" s="42"/>
      <c r="BI221" s="41"/>
      <c r="BJ221" s="41"/>
    </row>
    <row r="222" spans="1:62" s="38" customFormat="1" x14ac:dyDescent="0.25">
      <c r="A222" s="41"/>
      <c r="B222" s="41" t="s">
        <v>90</v>
      </c>
      <c r="C222" s="41" t="s">
        <v>694</v>
      </c>
      <c r="D222" s="41"/>
      <c r="E222" s="41" t="s">
        <v>17</v>
      </c>
      <c r="F222" s="41">
        <v>2025</v>
      </c>
      <c r="G222" s="41" t="s">
        <v>1346</v>
      </c>
      <c r="H222" s="41"/>
      <c r="I222" s="43"/>
      <c r="J222" s="41"/>
      <c r="K222" s="41"/>
      <c r="L222" s="41" t="s">
        <v>77</v>
      </c>
      <c r="M222" s="41">
        <v>50967</v>
      </c>
      <c r="N222" s="41" t="s">
        <v>695</v>
      </c>
      <c r="O222" s="41" t="s">
        <v>111</v>
      </c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  <c r="AC222" s="41"/>
      <c r="AD222" s="41"/>
      <c r="AE222" s="41"/>
      <c r="AF222" s="41"/>
      <c r="AG222" s="42"/>
      <c r="AH222" s="41"/>
      <c r="AI222" s="41"/>
      <c r="AJ222" s="41"/>
      <c r="AK222" s="41"/>
      <c r="AL222" s="41"/>
      <c r="AM222" s="41"/>
      <c r="AN222" s="41"/>
      <c r="AO222" s="41"/>
      <c r="AP222" s="41"/>
      <c r="AQ222" s="41"/>
      <c r="AR222" s="41"/>
      <c r="AS222" s="41"/>
      <c r="AT222" s="41"/>
      <c r="AU222" s="41"/>
      <c r="AV222" s="41"/>
      <c r="AW222" s="41"/>
      <c r="AX222" s="41"/>
      <c r="AY222" s="41"/>
      <c r="AZ222" s="41"/>
      <c r="BA222" s="41"/>
      <c r="BB222" s="41"/>
      <c r="BC222" s="41"/>
      <c r="BD222" s="42"/>
      <c r="BE222" s="41"/>
      <c r="BF222" s="41"/>
      <c r="BG222" s="41"/>
      <c r="BH222" s="42"/>
      <c r="BI222" s="41"/>
      <c r="BJ222" s="41"/>
    </row>
    <row r="223" spans="1:62" s="38" customFormat="1" x14ac:dyDescent="0.25">
      <c r="A223" s="41"/>
      <c r="B223" s="41" t="s">
        <v>696</v>
      </c>
      <c r="C223" s="41" t="s">
        <v>697</v>
      </c>
      <c r="D223" s="41"/>
      <c r="E223" s="41" t="s">
        <v>17</v>
      </c>
      <c r="F223" s="41">
        <v>2025</v>
      </c>
      <c r="G223" s="41" t="s">
        <v>1346</v>
      </c>
      <c r="H223" s="41"/>
      <c r="I223" s="43"/>
      <c r="J223" s="41"/>
      <c r="K223" s="41"/>
      <c r="L223" s="41" t="s">
        <v>77</v>
      </c>
      <c r="M223" s="41">
        <v>100966</v>
      </c>
      <c r="N223" s="41" t="s">
        <v>698</v>
      </c>
      <c r="O223" s="41" t="s">
        <v>235</v>
      </c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  <c r="AC223" s="41"/>
      <c r="AD223" s="41"/>
      <c r="AE223" s="41"/>
      <c r="AF223" s="41"/>
      <c r="AG223" s="42"/>
      <c r="AH223" s="41"/>
      <c r="AI223" s="41"/>
      <c r="AJ223" s="41"/>
      <c r="AK223" s="41"/>
      <c r="AL223" s="41"/>
      <c r="AM223" s="41"/>
      <c r="AN223" s="41"/>
      <c r="AO223" s="41"/>
      <c r="AP223" s="41"/>
      <c r="AQ223" s="41"/>
      <c r="AR223" s="41"/>
      <c r="AS223" s="41"/>
      <c r="AT223" s="41"/>
      <c r="AU223" s="41"/>
      <c r="AV223" s="41"/>
      <c r="AW223" s="41"/>
      <c r="AX223" s="41"/>
      <c r="AY223" s="41"/>
      <c r="AZ223" s="41"/>
      <c r="BA223" s="41"/>
      <c r="BB223" s="41"/>
      <c r="BC223" s="41"/>
      <c r="BD223" s="42"/>
      <c r="BE223" s="41"/>
      <c r="BF223" s="41"/>
      <c r="BG223" s="41"/>
      <c r="BH223" s="42"/>
      <c r="BI223" s="41"/>
      <c r="BJ223" s="41"/>
    </row>
    <row r="224" spans="1:62" s="38" customFormat="1" x14ac:dyDescent="0.25">
      <c r="A224" s="41"/>
      <c r="B224" s="41" t="s">
        <v>699</v>
      </c>
      <c r="C224" s="41" t="s">
        <v>700</v>
      </c>
      <c r="D224" s="41"/>
      <c r="E224" s="41" t="s">
        <v>17</v>
      </c>
      <c r="F224" s="41">
        <v>2025</v>
      </c>
      <c r="G224" s="41" t="s">
        <v>1346</v>
      </c>
      <c r="H224" s="41"/>
      <c r="I224" s="43"/>
      <c r="J224" s="41"/>
      <c r="K224" s="41"/>
      <c r="L224" s="41" t="s">
        <v>73</v>
      </c>
      <c r="M224" s="41">
        <v>100947</v>
      </c>
      <c r="N224" s="41" t="s">
        <v>701</v>
      </c>
      <c r="O224" s="41" t="s">
        <v>266</v>
      </c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  <c r="AC224" s="41"/>
      <c r="AD224" s="41"/>
      <c r="AE224" s="41"/>
      <c r="AF224" s="41"/>
      <c r="AG224" s="42"/>
      <c r="AH224" s="41"/>
      <c r="AI224" s="41"/>
      <c r="AJ224" s="41"/>
      <c r="AK224" s="41"/>
      <c r="AL224" s="41"/>
      <c r="AM224" s="41"/>
      <c r="AN224" s="41"/>
      <c r="AO224" s="41"/>
      <c r="AP224" s="41"/>
      <c r="AQ224" s="41"/>
      <c r="AR224" s="41"/>
      <c r="AS224" s="41"/>
      <c r="AT224" s="41"/>
      <c r="AU224" s="41"/>
      <c r="AV224" s="41"/>
      <c r="AW224" s="41"/>
      <c r="AX224" s="41"/>
      <c r="AY224" s="41"/>
      <c r="AZ224" s="41"/>
      <c r="BA224" s="41"/>
      <c r="BB224" s="41"/>
      <c r="BC224" s="41"/>
      <c r="BD224" s="42"/>
      <c r="BE224" s="41"/>
      <c r="BF224" s="41"/>
      <c r="BG224" s="41"/>
      <c r="BH224" s="42"/>
      <c r="BI224" s="41"/>
      <c r="BJ224" s="41"/>
    </row>
    <row r="225" spans="1:62" s="38" customFormat="1" x14ac:dyDescent="0.25">
      <c r="A225" s="41"/>
      <c r="B225" s="41" t="s">
        <v>702</v>
      </c>
      <c r="C225" s="41" t="s">
        <v>703</v>
      </c>
      <c r="D225" s="41"/>
      <c r="E225" s="41" t="s">
        <v>17</v>
      </c>
      <c r="F225" s="41">
        <v>2025</v>
      </c>
      <c r="G225" s="41" t="s">
        <v>1346</v>
      </c>
      <c r="H225" s="41"/>
      <c r="I225" s="43"/>
      <c r="J225" s="41"/>
      <c r="K225" s="41"/>
      <c r="L225" s="41" t="s">
        <v>77</v>
      </c>
      <c r="M225" s="41">
        <v>100982</v>
      </c>
      <c r="N225" s="41" t="s">
        <v>704</v>
      </c>
      <c r="O225" s="41" t="s">
        <v>235</v>
      </c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  <c r="AC225" s="41"/>
      <c r="AD225" s="41"/>
      <c r="AE225" s="41"/>
      <c r="AF225" s="41"/>
      <c r="AG225" s="42"/>
      <c r="AH225" s="41"/>
      <c r="AI225" s="41"/>
      <c r="AJ225" s="41"/>
      <c r="AK225" s="41"/>
      <c r="AL225" s="41"/>
      <c r="AM225" s="41"/>
      <c r="AN225" s="41"/>
      <c r="AO225" s="41"/>
      <c r="AP225" s="41"/>
      <c r="AQ225" s="41"/>
      <c r="AR225" s="41"/>
      <c r="AS225" s="41"/>
      <c r="AT225" s="41"/>
      <c r="AU225" s="41"/>
      <c r="AV225" s="41"/>
      <c r="AW225" s="41"/>
      <c r="AX225" s="41"/>
      <c r="AY225" s="41"/>
      <c r="AZ225" s="41"/>
      <c r="BA225" s="41"/>
      <c r="BB225" s="41"/>
      <c r="BC225" s="41"/>
      <c r="BD225" s="42"/>
      <c r="BE225" s="41"/>
      <c r="BF225" s="41"/>
      <c r="BG225" s="41"/>
      <c r="BH225" s="42"/>
      <c r="BI225" s="41"/>
      <c r="BJ225" s="41"/>
    </row>
    <row r="226" spans="1:62" s="38" customFormat="1" x14ac:dyDescent="0.25">
      <c r="A226" s="41"/>
      <c r="B226" s="41" t="s">
        <v>705</v>
      </c>
      <c r="C226" s="41" t="s">
        <v>706</v>
      </c>
      <c r="D226" s="41"/>
      <c r="E226" s="41" t="s">
        <v>17</v>
      </c>
      <c r="F226" s="41">
        <v>2025</v>
      </c>
      <c r="G226" s="41" t="s">
        <v>1346</v>
      </c>
      <c r="H226" s="41"/>
      <c r="I226" s="43"/>
      <c r="J226" s="41"/>
      <c r="K226" s="41"/>
      <c r="L226" s="41" t="s">
        <v>77</v>
      </c>
      <c r="M226" s="41">
        <v>100996</v>
      </c>
      <c r="N226" s="41" t="s">
        <v>707</v>
      </c>
      <c r="O226" s="41" t="s">
        <v>266</v>
      </c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1"/>
      <c r="AC226" s="41"/>
      <c r="AD226" s="41"/>
      <c r="AE226" s="41"/>
      <c r="AF226" s="41"/>
      <c r="AG226" s="42"/>
      <c r="AH226" s="41"/>
      <c r="AI226" s="41"/>
      <c r="AJ226" s="41"/>
      <c r="AK226" s="41"/>
      <c r="AL226" s="41"/>
      <c r="AM226" s="41"/>
      <c r="AN226" s="41"/>
      <c r="AO226" s="41"/>
      <c r="AP226" s="41"/>
      <c r="AQ226" s="41"/>
      <c r="AR226" s="41"/>
      <c r="AS226" s="41"/>
      <c r="AT226" s="41"/>
      <c r="AU226" s="41"/>
      <c r="AV226" s="41"/>
      <c r="AW226" s="41"/>
      <c r="AX226" s="41"/>
      <c r="AY226" s="41"/>
      <c r="AZ226" s="41"/>
      <c r="BA226" s="41"/>
      <c r="BB226" s="41"/>
      <c r="BC226" s="41"/>
      <c r="BD226" s="42"/>
      <c r="BE226" s="41"/>
      <c r="BF226" s="41"/>
      <c r="BG226" s="41"/>
      <c r="BH226" s="42"/>
      <c r="BI226" s="41"/>
      <c r="BJ226" s="41"/>
    </row>
    <row r="227" spans="1:62" s="38" customFormat="1" x14ac:dyDescent="0.25">
      <c r="A227" s="41"/>
      <c r="B227" s="41" t="s">
        <v>708</v>
      </c>
      <c r="C227" s="41" t="s">
        <v>709</v>
      </c>
      <c r="D227" s="41"/>
      <c r="E227" s="41" t="s">
        <v>17</v>
      </c>
      <c r="F227" s="41">
        <v>2025</v>
      </c>
      <c r="G227" s="41" t="s">
        <v>1346</v>
      </c>
      <c r="H227" s="41"/>
      <c r="I227" s="43"/>
      <c r="J227" s="41"/>
      <c r="K227" s="41"/>
      <c r="L227" s="41" t="s">
        <v>73</v>
      </c>
      <c r="M227" s="41">
        <v>50900</v>
      </c>
      <c r="N227" s="41" t="s">
        <v>710</v>
      </c>
      <c r="O227" s="41" t="s">
        <v>266</v>
      </c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  <c r="AC227" s="41"/>
      <c r="AD227" s="41"/>
      <c r="AE227" s="41"/>
      <c r="AF227" s="41"/>
      <c r="AG227" s="42"/>
      <c r="AH227" s="41"/>
      <c r="AI227" s="41"/>
      <c r="AJ227" s="41"/>
      <c r="AK227" s="41"/>
      <c r="AL227" s="41"/>
      <c r="AM227" s="41"/>
      <c r="AN227" s="41"/>
      <c r="AO227" s="41"/>
      <c r="AP227" s="41"/>
      <c r="AQ227" s="41"/>
      <c r="AR227" s="41"/>
      <c r="AS227" s="41"/>
      <c r="AT227" s="41"/>
      <c r="AU227" s="41"/>
      <c r="AV227" s="41"/>
      <c r="AW227" s="41"/>
      <c r="AX227" s="41"/>
      <c r="AY227" s="41"/>
      <c r="AZ227" s="41"/>
      <c r="BA227" s="41"/>
      <c r="BB227" s="41"/>
      <c r="BC227" s="41"/>
      <c r="BD227" s="42"/>
      <c r="BE227" s="41"/>
      <c r="BF227" s="41"/>
      <c r="BG227" s="41"/>
      <c r="BH227" s="42"/>
      <c r="BI227" s="41"/>
      <c r="BJ227" s="41"/>
    </row>
    <row r="228" spans="1:62" s="38" customFormat="1" x14ac:dyDescent="0.25">
      <c r="A228" s="41"/>
      <c r="B228" s="41" t="s">
        <v>711</v>
      </c>
      <c r="C228" s="41" t="s">
        <v>712</v>
      </c>
      <c r="D228" s="41"/>
      <c r="E228" s="41" t="s">
        <v>17</v>
      </c>
      <c r="F228" s="41">
        <v>2025</v>
      </c>
      <c r="G228" s="41" t="s">
        <v>1346</v>
      </c>
      <c r="H228" s="41"/>
      <c r="I228" s="43"/>
      <c r="J228" s="41"/>
      <c r="K228" s="41"/>
      <c r="L228" s="41" t="s">
        <v>268</v>
      </c>
      <c r="M228" s="41">
        <v>50973</v>
      </c>
      <c r="N228" s="41" t="s">
        <v>713</v>
      </c>
      <c r="O228" s="41" t="s">
        <v>272</v>
      </c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1"/>
      <c r="AC228" s="41"/>
      <c r="AD228" s="41"/>
      <c r="AE228" s="41"/>
      <c r="AF228" s="41"/>
      <c r="AG228" s="42"/>
      <c r="AH228" s="41"/>
      <c r="AI228" s="41"/>
      <c r="AJ228" s="41"/>
      <c r="AK228" s="41"/>
      <c r="AL228" s="41"/>
      <c r="AM228" s="41"/>
      <c r="AN228" s="41"/>
      <c r="AO228" s="41"/>
      <c r="AP228" s="41"/>
      <c r="AQ228" s="41"/>
      <c r="AR228" s="41"/>
      <c r="AS228" s="41"/>
      <c r="AT228" s="41"/>
      <c r="AU228" s="41"/>
      <c r="AV228" s="41"/>
      <c r="AW228" s="41"/>
      <c r="AX228" s="41"/>
      <c r="AY228" s="41"/>
      <c r="AZ228" s="41"/>
      <c r="BA228" s="41"/>
      <c r="BB228" s="41"/>
      <c r="BC228" s="41"/>
      <c r="BD228" s="42"/>
      <c r="BE228" s="41"/>
      <c r="BF228" s="41"/>
      <c r="BG228" s="41"/>
      <c r="BH228" s="42"/>
      <c r="BI228" s="41"/>
      <c r="BJ228" s="41"/>
    </row>
    <row r="229" spans="1:62" s="38" customFormat="1" x14ac:dyDescent="0.25">
      <c r="A229" s="41"/>
      <c r="B229" s="41" t="s">
        <v>90</v>
      </c>
      <c r="C229" s="41" t="s">
        <v>714</v>
      </c>
      <c r="D229" s="41"/>
      <c r="E229" s="41" t="s">
        <v>17</v>
      </c>
      <c r="F229" s="41">
        <v>2025</v>
      </c>
      <c r="G229" s="41" t="s">
        <v>1346</v>
      </c>
      <c r="H229" s="41"/>
      <c r="I229" s="43"/>
      <c r="J229" s="41"/>
      <c r="K229" s="41"/>
      <c r="L229" s="41" t="s">
        <v>268</v>
      </c>
      <c r="M229" s="41">
        <v>50938</v>
      </c>
      <c r="N229" s="41" t="s">
        <v>715</v>
      </c>
      <c r="O229" s="41" t="s">
        <v>272</v>
      </c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1"/>
      <c r="AC229" s="41"/>
      <c r="AD229" s="41"/>
      <c r="AE229" s="41"/>
      <c r="AF229" s="41"/>
      <c r="AG229" s="42"/>
      <c r="AH229" s="41"/>
      <c r="AI229" s="41"/>
      <c r="AJ229" s="41"/>
      <c r="AK229" s="41"/>
      <c r="AL229" s="41"/>
      <c r="AM229" s="41"/>
      <c r="AN229" s="41"/>
      <c r="AO229" s="41"/>
      <c r="AP229" s="41"/>
      <c r="AQ229" s="41"/>
      <c r="AR229" s="41"/>
      <c r="AS229" s="41"/>
      <c r="AT229" s="41"/>
      <c r="AU229" s="41"/>
      <c r="AV229" s="41"/>
      <c r="AW229" s="41"/>
      <c r="AX229" s="41"/>
      <c r="AY229" s="41"/>
      <c r="AZ229" s="41"/>
      <c r="BA229" s="41"/>
      <c r="BB229" s="41"/>
      <c r="BC229" s="41"/>
      <c r="BD229" s="42"/>
      <c r="BE229" s="41"/>
      <c r="BF229" s="41"/>
      <c r="BG229" s="41"/>
      <c r="BH229" s="42"/>
      <c r="BI229" s="41"/>
      <c r="BJ229" s="41"/>
    </row>
    <row r="230" spans="1:62" s="38" customFormat="1" x14ac:dyDescent="0.25">
      <c r="A230" s="41"/>
      <c r="B230" s="41" t="s">
        <v>90</v>
      </c>
      <c r="C230" s="41" t="s">
        <v>716</v>
      </c>
      <c r="D230" s="41"/>
      <c r="E230" s="41" t="s">
        <v>17</v>
      </c>
      <c r="F230" s="41">
        <v>2025</v>
      </c>
      <c r="G230" s="41" t="s">
        <v>1346</v>
      </c>
      <c r="H230" s="41"/>
      <c r="I230" s="43"/>
      <c r="J230" s="41"/>
      <c r="K230" s="41"/>
      <c r="L230" s="41" t="s">
        <v>73</v>
      </c>
      <c r="M230" s="41">
        <v>100933</v>
      </c>
      <c r="N230" s="41" t="s">
        <v>717</v>
      </c>
      <c r="O230" s="41" t="s">
        <v>272</v>
      </c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  <c r="AC230" s="41"/>
      <c r="AD230" s="41"/>
      <c r="AE230" s="41"/>
      <c r="AF230" s="41"/>
      <c r="AG230" s="42"/>
      <c r="AH230" s="41"/>
      <c r="AI230" s="41"/>
      <c r="AJ230" s="41"/>
      <c r="AK230" s="41"/>
      <c r="AL230" s="41"/>
      <c r="AM230" s="41"/>
      <c r="AN230" s="41"/>
      <c r="AO230" s="41"/>
      <c r="AP230" s="41"/>
      <c r="AQ230" s="41"/>
      <c r="AR230" s="41"/>
      <c r="AS230" s="41"/>
      <c r="AT230" s="41"/>
      <c r="AU230" s="41"/>
      <c r="AV230" s="41"/>
      <c r="AW230" s="41"/>
      <c r="AX230" s="41"/>
      <c r="AY230" s="41"/>
      <c r="AZ230" s="41"/>
      <c r="BA230" s="41"/>
      <c r="BB230" s="41"/>
      <c r="BC230" s="41"/>
      <c r="BD230" s="42"/>
      <c r="BE230" s="41"/>
      <c r="BF230" s="41"/>
      <c r="BG230" s="41"/>
      <c r="BH230" s="42"/>
      <c r="BI230" s="41"/>
      <c r="BJ230" s="41"/>
    </row>
    <row r="231" spans="1:62" s="38" customFormat="1" x14ac:dyDescent="0.25">
      <c r="A231" s="41"/>
      <c r="B231" s="41" t="s">
        <v>718</v>
      </c>
      <c r="C231" s="41" t="s">
        <v>719</v>
      </c>
      <c r="D231" s="41"/>
      <c r="E231" s="41" t="s">
        <v>17</v>
      </c>
      <c r="F231" s="41">
        <v>2025</v>
      </c>
      <c r="G231" s="41" t="s">
        <v>1346</v>
      </c>
      <c r="H231" s="41"/>
      <c r="I231" s="43"/>
      <c r="J231" s="41"/>
      <c r="K231" s="41"/>
      <c r="L231" s="41" t="s">
        <v>73</v>
      </c>
      <c r="M231" s="41">
        <v>100933</v>
      </c>
      <c r="N231" s="41" t="s">
        <v>720</v>
      </c>
      <c r="O231" s="41" t="s">
        <v>99</v>
      </c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  <c r="AC231" s="41"/>
      <c r="AD231" s="41"/>
      <c r="AE231" s="41"/>
      <c r="AF231" s="41"/>
      <c r="AG231" s="42"/>
      <c r="AH231" s="41"/>
      <c r="AI231" s="41"/>
      <c r="AJ231" s="41"/>
      <c r="AK231" s="41"/>
      <c r="AL231" s="41"/>
      <c r="AM231" s="41"/>
      <c r="AN231" s="41"/>
      <c r="AO231" s="41"/>
      <c r="AP231" s="41"/>
      <c r="AQ231" s="41"/>
      <c r="AR231" s="41"/>
      <c r="AS231" s="41"/>
      <c r="AT231" s="41"/>
      <c r="AU231" s="41"/>
      <c r="AV231" s="41"/>
      <c r="AW231" s="41"/>
      <c r="AX231" s="41"/>
      <c r="AY231" s="41"/>
      <c r="AZ231" s="41"/>
      <c r="BA231" s="41"/>
      <c r="BB231" s="41"/>
      <c r="BC231" s="41"/>
      <c r="BD231" s="42"/>
      <c r="BE231" s="41"/>
      <c r="BF231" s="41"/>
      <c r="BG231" s="41"/>
      <c r="BH231" s="42"/>
      <c r="BI231" s="41"/>
      <c r="BJ231" s="41"/>
    </row>
    <row r="232" spans="1:62" s="38" customFormat="1" x14ac:dyDescent="0.25">
      <c r="A232" s="41"/>
      <c r="B232" s="41" t="s">
        <v>721</v>
      </c>
      <c r="C232" s="41" t="s">
        <v>722</v>
      </c>
      <c r="D232" s="41"/>
      <c r="E232" s="41" t="s">
        <v>17</v>
      </c>
      <c r="F232" s="41">
        <v>2025</v>
      </c>
      <c r="G232" s="41" t="s">
        <v>1346</v>
      </c>
      <c r="H232" s="41"/>
      <c r="I232" s="43"/>
      <c r="J232" s="41"/>
      <c r="K232" s="41"/>
      <c r="L232" s="41" t="s">
        <v>73</v>
      </c>
      <c r="M232" s="41">
        <v>100931</v>
      </c>
      <c r="N232" s="41" t="s">
        <v>723</v>
      </c>
      <c r="O232" s="41" t="s">
        <v>99</v>
      </c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  <c r="AC232" s="41"/>
      <c r="AD232" s="41"/>
      <c r="AE232" s="41"/>
      <c r="AF232" s="41"/>
      <c r="AG232" s="42"/>
      <c r="AH232" s="41"/>
      <c r="AI232" s="41"/>
      <c r="AJ232" s="41"/>
      <c r="AK232" s="41"/>
      <c r="AL232" s="41"/>
      <c r="AM232" s="41"/>
      <c r="AN232" s="41"/>
      <c r="AO232" s="41"/>
      <c r="AP232" s="41"/>
      <c r="AQ232" s="41"/>
      <c r="AR232" s="41"/>
      <c r="AS232" s="41"/>
      <c r="AT232" s="41"/>
      <c r="AU232" s="41"/>
      <c r="AV232" s="41"/>
      <c r="AW232" s="41"/>
      <c r="AX232" s="41"/>
      <c r="AY232" s="41"/>
      <c r="AZ232" s="41"/>
      <c r="BA232" s="41"/>
      <c r="BB232" s="41"/>
      <c r="BC232" s="41"/>
      <c r="BD232" s="42"/>
      <c r="BE232" s="41"/>
      <c r="BF232" s="41"/>
      <c r="BG232" s="41"/>
      <c r="BH232" s="42"/>
      <c r="BI232" s="41"/>
      <c r="BJ232" s="41"/>
    </row>
    <row r="233" spans="1:62" s="38" customFormat="1" x14ac:dyDescent="0.25">
      <c r="A233" s="41"/>
      <c r="B233" s="41" t="s">
        <v>724</v>
      </c>
      <c r="C233" s="41" t="s">
        <v>725</v>
      </c>
      <c r="D233" s="41"/>
      <c r="E233" s="41" t="s">
        <v>17</v>
      </c>
      <c r="F233" s="41">
        <v>2025</v>
      </c>
      <c r="G233" s="41" t="s">
        <v>1346</v>
      </c>
      <c r="H233" s="41"/>
      <c r="I233" s="43"/>
      <c r="J233" s="41"/>
      <c r="K233" s="41"/>
      <c r="L233" s="41" t="s">
        <v>268</v>
      </c>
      <c r="M233" s="41">
        <v>150943</v>
      </c>
      <c r="N233" s="41" t="s">
        <v>726</v>
      </c>
      <c r="O233" s="41" t="s">
        <v>272</v>
      </c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  <c r="AC233" s="41"/>
      <c r="AD233" s="41"/>
      <c r="AE233" s="41"/>
      <c r="AF233" s="41"/>
      <c r="AG233" s="42"/>
      <c r="AH233" s="41"/>
      <c r="AI233" s="41"/>
      <c r="AJ233" s="41"/>
      <c r="AK233" s="41"/>
      <c r="AL233" s="41"/>
      <c r="AM233" s="41"/>
      <c r="AN233" s="41"/>
      <c r="AO233" s="41"/>
      <c r="AP233" s="41"/>
      <c r="AQ233" s="41"/>
      <c r="AR233" s="41"/>
      <c r="AS233" s="41"/>
      <c r="AT233" s="41"/>
      <c r="AU233" s="41"/>
      <c r="AV233" s="41"/>
      <c r="AW233" s="41"/>
      <c r="AX233" s="41"/>
      <c r="AY233" s="41"/>
      <c r="AZ233" s="41"/>
      <c r="BA233" s="41"/>
      <c r="BB233" s="41"/>
      <c r="BC233" s="41"/>
      <c r="BD233" s="42"/>
      <c r="BE233" s="41"/>
      <c r="BF233" s="41"/>
      <c r="BG233" s="41"/>
      <c r="BH233" s="42"/>
      <c r="BI233" s="41"/>
      <c r="BJ233" s="41"/>
    </row>
    <row r="234" spans="1:62" s="38" customFormat="1" x14ac:dyDescent="0.25">
      <c r="A234" s="41"/>
      <c r="B234" s="41" t="s">
        <v>727</v>
      </c>
      <c r="C234" s="41" t="s">
        <v>728</v>
      </c>
      <c r="D234" s="41"/>
      <c r="E234" s="41" t="s">
        <v>17</v>
      </c>
      <c r="F234" s="41">
        <v>2025</v>
      </c>
      <c r="G234" s="41" t="s">
        <v>1346</v>
      </c>
      <c r="H234" s="41"/>
      <c r="I234" s="43"/>
      <c r="J234" s="41"/>
      <c r="K234" s="41"/>
      <c r="L234" s="41" t="s">
        <v>65</v>
      </c>
      <c r="M234" s="41">
        <v>25922</v>
      </c>
      <c r="N234" s="41" t="s">
        <v>510</v>
      </c>
      <c r="O234" s="41" t="s">
        <v>106</v>
      </c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  <c r="AC234" s="41"/>
      <c r="AD234" s="41"/>
      <c r="AE234" s="41"/>
      <c r="AF234" s="41"/>
      <c r="AG234" s="42"/>
      <c r="AH234" s="41"/>
      <c r="AI234" s="41"/>
      <c r="AJ234" s="41"/>
      <c r="AK234" s="41"/>
      <c r="AL234" s="41"/>
      <c r="AM234" s="41"/>
      <c r="AN234" s="41"/>
      <c r="AO234" s="41"/>
      <c r="AP234" s="41"/>
      <c r="AQ234" s="41"/>
      <c r="AR234" s="41"/>
      <c r="AS234" s="41"/>
      <c r="AT234" s="41"/>
      <c r="AU234" s="41"/>
      <c r="AV234" s="41"/>
      <c r="AW234" s="41"/>
      <c r="AX234" s="41"/>
      <c r="AY234" s="41"/>
      <c r="AZ234" s="41"/>
      <c r="BA234" s="41"/>
      <c r="BB234" s="41"/>
      <c r="BC234" s="41"/>
      <c r="BD234" s="42"/>
      <c r="BE234" s="41"/>
      <c r="BF234" s="41"/>
      <c r="BG234" s="41"/>
      <c r="BH234" s="42"/>
      <c r="BI234" s="41"/>
      <c r="BJ234" s="41"/>
    </row>
    <row r="235" spans="1:62" s="38" customFormat="1" x14ac:dyDescent="0.25">
      <c r="A235" s="41"/>
      <c r="B235" s="41" t="s">
        <v>729</v>
      </c>
      <c r="C235" s="41" t="s">
        <v>730</v>
      </c>
      <c r="D235" s="41"/>
      <c r="E235" s="41" t="s">
        <v>17</v>
      </c>
      <c r="F235" s="41">
        <v>2025</v>
      </c>
      <c r="G235" s="41" t="s">
        <v>1346</v>
      </c>
      <c r="H235" s="41"/>
      <c r="I235" s="43"/>
      <c r="J235" s="41"/>
      <c r="K235" s="41"/>
      <c r="L235" s="41" t="s">
        <v>77</v>
      </c>
      <c r="M235" s="41">
        <v>51462</v>
      </c>
      <c r="N235" s="41" t="s">
        <v>731</v>
      </c>
      <c r="O235" s="41" t="s">
        <v>146</v>
      </c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1"/>
      <c r="AC235" s="41"/>
      <c r="AD235" s="41"/>
      <c r="AE235" s="41"/>
      <c r="AF235" s="41"/>
      <c r="AG235" s="42"/>
      <c r="AH235" s="41"/>
      <c r="AI235" s="41"/>
      <c r="AJ235" s="41"/>
      <c r="AK235" s="41"/>
      <c r="AL235" s="41"/>
      <c r="AM235" s="41"/>
      <c r="AN235" s="41"/>
      <c r="AO235" s="41"/>
      <c r="AP235" s="41"/>
      <c r="AQ235" s="41"/>
      <c r="AR235" s="41"/>
      <c r="AS235" s="41"/>
      <c r="AT235" s="41"/>
      <c r="AU235" s="41"/>
      <c r="AV235" s="41"/>
      <c r="AW235" s="41"/>
      <c r="AX235" s="41"/>
      <c r="AY235" s="41"/>
      <c r="AZ235" s="41"/>
      <c r="BA235" s="41"/>
      <c r="BB235" s="41"/>
      <c r="BC235" s="41"/>
      <c r="BD235" s="42"/>
      <c r="BE235" s="41"/>
      <c r="BF235" s="41"/>
      <c r="BG235" s="41"/>
      <c r="BH235" s="42"/>
      <c r="BI235" s="41"/>
      <c r="BJ235" s="41"/>
    </row>
    <row r="236" spans="1:62" s="38" customFormat="1" x14ac:dyDescent="0.25">
      <c r="A236" s="41"/>
      <c r="B236" s="41" t="s">
        <v>732</v>
      </c>
      <c r="C236" s="41" t="s">
        <v>733</v>
      </c>
      <c r="D236" s="41"/>
      <c r="E236" s="41" t="s">
        <v>17</v>
      </c>
      <c r="F236" s="41">
        <v>2025</v>
      </c>
      <c r="G236" s="41" t="s">
        <v>1346</v>
      </c>
      <c r="H236" s="41"/>
      <c r="I236" s="43"/>
      <c r="J236" s="41"/>
      <c r="K236" s="41"/>
      <c r="L236" s="41" t="s">
        <v>73</v>
      </c>
      <c r="M236" s="41">
        <v>250952</v>
      </c>
      <c r="N236" s="41" t="s">
        <v>734</v>
      </c>
      <c r="O236" s="41" t="s">
        <v>146</v>
      </c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  <c r="AC236" s="41"/>
      <c r="AD236" s="41"/>
      <c r="AE236" s="41"/>
      <c r="AF236" s="41"/>
      <c r="AG236" s="42"/>
      <c r="AH236" s="41"/>
      <c r="AI236" s="41"/>
      <c r="AJ236" s="41"/>
      <c r="AK236" s="41"/>
      <c r="AL236" s="41"/>
      <c r="AM236" s="41"/>
      <c r="AN236" s="41"/>
      <c r="AO236" s="41"/>
      <c r="AP236" s="41"/>
      <c r="AQ236" s="41"/>
      <c r="AR236" s="41"/>
      <c r="AS236" s="41"/>
      <c r="AT236" s="41"/>
      <c r="AU236" s="41"/>
      <c r="AV236" s="41"/>
      <c r="AW236" s="41"/>
      <c r="AX236" s="41"/>
      <c r="AY236" s="41"/>
      <c r="AZ236" s="41"/>
      <c r="BA236" s="41"/>
      <c r="BB236" s="41"/>
      <c r="BC236" s="41"/>
      <c r="BD236" s="42"/>
      <c r="BE236" s="41"/>
      <c r="BF236" s="41"/>
      <c r="BG236" s="41"/>
      <c r="BH236" s="42"/>
      <c r="BI236" s="41"/>
      <c r="BJ236" s="41"/>
    </row>
    <row r="237" spans="1:62" s="38" customFormat="1" x14ac:dyDescent="0.25">
      <c r="A237" s="41"/>
      <c r="B237" s="41" t="s">
        <v>735</v>
      </c>
      <c r="C237" s="41" t="s">
        <v>736</v>
      </c>
      <c r="D237" s="41"/>
      <c r="E237" s="41" t="s">
        <v>17</v>
      </c>
      <c r="F237" s="41">
        <v>2025</v>
      </c>
      <c r="G237" s="41" t="s">
        <v>1346</v>
      </c>
      <c r="H237" s="41"/>
      <c r="I237" s="43"/>
      <c r="J237" s="41"/>
      <c r="K237" s="41"/>
      <c r="L237" s="41" t="s">
        <v>73</v>
      </c>
      <c r="M237" s="41">
        <v>100936</v>
      </c>
      <c r="N237" s="41" t="s">
        <v>737</v>
      </c>
      <c r="O237" s="41" t="s">
        <v>106</v>
      </c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  <c r="AC237" s="41"/>
      <c r="AD237" s="41"/>
      <c r="AE237" s="41"/>
      <c r="AF237" s="41"/>
      <c r="AG237" s="42"/>
      <c r="AH237" s="41"/>
      <c r="AI237" s="41"/>
      <c r="AJ237" s="41"/>
      <c r="AK237" s="41"/>
      <c r="AL237" s="41"/>
      <c r="AM237" s="41"/>
      <c r="AN237" s="41"/>
      <c r="AO237" s="41"/>
      <c r="AP237" s="41"/>
      <c r="AQ237" s="41"/>
      <c r="AR237" s="41"/>
      <c r="AS237" s="41"/>
      <c r="AT237" s="41"/>
      <c r="AU237" s="41"/>
      <c r="AV237" s="41"/>
      <c r="AW237" s="41"/>
      <c r="AX237" s="41"/>
      <c r="AY237" s="41"/>
      <c r="AZ237" s="41"/>
      <c r="BA237" s="41"/>
      <c r="BB237" s="41"/>
      <c r="BC237" s="41"/>
      <c r="BD237" s="42"/>
      <c r="BE237" s="41"/>
      <c r="BF237" s="41"/>
      <c r="BG237" s="41"/>
      <c r="BH237" s="42"/>
      <c r="BI237" s="41"/>
      <c r="BJ237" s="41"/>
    </row>
    <row r="238" spans="1:62" s="38" customFormat="1" x14ac:dyDescent="0.25">
      <c r="A238" s="41"/>
      <c r="B238" s="41" t="s">
        <v>738</v>
      </c>
      <c r="C238" s="41" t="s">
        <v>739</v>
      </c>
      <c r="D238" s="41"/>
      <c r="E238" s="41" t="s">
        <v>17</v>
      </c>
      <c r="F238" s="41">
        <v>2025</v>
      </c>
      <c r="G238" s="41" t="s">
        <v>1346</v>
      </c>
      <c r="H238" s="41"/>
      <c r="I238" s="43"/>
      <c r="J238" s="41"/>
      <c r="K238" s="41"/>
      <c r="L238" s="41" t="s">
        <v>268</v>
      </c>
      <c r="M238" s="41">
        <v>50939</v>
      </c>
      <c r="N238" s="41" t="s">
        <v>740</v>
      </c>
      <c r="O238" s="41" t="s">
        <v>111</v>
      </c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1"/>
      <c r="AC238" s="41"/>
      <c r="AD238" s="41"/>
      <c r="AE238" s="41"/>
      <c r="AF238" s="41"/>
      <c r="AG238" s="42"/>
      <c r="AH238" s="41"/>
      <c r="AI238" s="41"/>
      <c r="AJ238" s="41"/>
      <c r="AK238" s="41"/>
      <c r="AL238" s="41"/>
      <c r="AM238" s="41"/>
      <c r="AN238" s="41"/>
      <c r="AO238" s="41"/>
      <c r="AP238" s="41"/>
      <c r="AQ238" s="41"/>
      <c r="AR238" s="41"/>
      <c r="AS238" s="41"/>
      <c r="AT238" s="41"/>
      <c r="AU238" s="41"/>
      <c r="AV238" s="41"/>
      <c r="AW238" s="41"/>
      <c r="AX238" s="41"/>
      <c r="AY238" s="41"/>
      <c r="AZ238" s="41"/>
      <c r="BA238" s="41"/>
      <c r="BB238" s="41"/>
      <c r="BC238" s="41"/>
      <c r="BD238" s="42"/>
      <c r="BE238" s="41"/>
      <c r="BF238" s="41"/>
      <c r="BG238" s="41"/>
      <c r="BH238" s="42"/>
      <c r="BI238" s="41"/>
      <c r="BJ238" s="41"/>
    </row>
    <row r="239" spans="1:62" s="38" customFormat="1" x14ac:dyDescent="0.25">
      <c r="A239" s="41"/>
      <c r="B239" s="41" t="s">
        <v>741</v>
      </c>
      <c r="C239" s="41" t="s">
        <v>742</v>
      </c>
      <c r="D239" s="41"/>
      <c r="E239" s="41" t="s">
        <v>17</v>
      </c>
      <c r="F239" s="41">
        <v>2025</v>
      </c>
      <c r="G239" s="41" t="s">
        <v>1346</v>
      </c>
      <c r="H239" s="41"/>
      <c r="I239" s="43"/>
      <c r="J239" s="41"/>
      <c r="K239" s="41"/>
      <c r="L239" s="41" t="s">
        <v>268</v>
      </c>
      <c r="M239" s="41">
        <v>200000</v>
      </c>
      <c r="N239" s="41" t="s">
        <v>743</v>
      </c>
      <c r="O239" s="41" t="s">
        <v>67</v>
      </c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  <c r="AC239" s="41"/>
      <c r="AD239" s="41"/>
      <c r="AE239" s="41"/>
      <c r="AF239" s="41"/>
      <c r="AG239" s="42"/>
      <c r="AH239" s="41"/>
      <c r="AI239" s="41"/>
      <c r="AJ239" s="41"/>
      <c r="AK239" s="41"/>
      <c r="AL239" s="41"/>
      <c r="AM239" s="41"/>
      <c r="AN239" s="41"/>
      <c r="AO239" s="41"/>
      <c r="AP239" s="41"/>
      <c r="AQ239" s="41"/>
      <c r="AR239" s="41"/>
      <c r="AS239" s="41"/>
      <c r="AT239" s="41"/>
      <c r="AU239" s="41"/>
      <c r="AV239" s="41"/>
      <c r="AW239" s="41"/>
      <c r="AX239" s="41"/>
      <c r="AY239" s="41"/>
      <c r="AZ239" s="41"/>
      <c r="BA239" s="41"/>
      <c r="BB239" s="41"/>
      <c r="BC239" s="41"/>
      <c r="BD239" s="42"/>
      <c r="BE239" s="41"/>
      <c r="BF239" s="41"/>
      <c r="BG239" s="41"/>
      <c r="BH239" s="42"/>
      <c r="BI239" s="41"/>
      <c r="BJ239" s="41"/>
    </row>
    <row r="240" spans="1:62" s="38" customFormat="1" x14ac:dyDescent="0.25">
      <c r="A240" s="41"/>
      <c r="B240" s="41" t="s">
        <v>744</v>
      </c>
      <c r="C240" s="41" t="s">
        <v>745</v>
      </c>
      <c r="D240" s="41"/>
      <c r="E240" s="41" t="s">
        <v>17</v>
      </c>
      <c r="F240" s="41">
        <v>2025</v>
      </c>
      <c r="G240" s="41" t="s">
        <v>1346</v>
      </c>
      <c r="H240" s="41"/>
      <c r="I240" s="43"/>
      <c r="J240" s="41"/>
      <c r="K240" s="41"/>
      <c r="L240" s="41" t="s">
        <v>77</v>
      </c>
      <c r="M240" s="41">
        <v>50986</v>
      </c>
      <c r="N240" s="41" t="s">
        <v>746</v>
      </c>
      <c r="O240" s="41" t="s">
        <v>79</v>
      </c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  <c r="AC240" s="41"/>
      <c r="AD240" s="41"/>
      <c r="AE240" s="41"/>
      <c r="AF240" s="41"/>
      <c r="AG240" s="42"/>
      <c r="AH240" s="41"/>
      <c r="AI240" s="41"/>
      <c r="AJ240" s="41"/>
      <c r="AK240" s="41"/>
      <c r="AL240" s="41"/>
      <c r="AM240" s="41"/>
      <c r="AN240" s="41"/>
      <c r="AO240" s="41"/>
      <c r="AP240" s="41"/>
      <c r="AQ240" s="41"/>
      <c r="AR240" s="41"/>
      <c r="AS240" s="41"/>
      <c r="AT240" s="41"/>
      <c r="AU240" s="41"/>
      <c r="AV240" s="41"/>
      <c r="AW240" s="41"/>
      <c r="AX240" s="41"/>
      <c r="AY240" s="41"/>
      <c r="AZ240" s="41"/>
      <c r="BA240" s="41"/>
      <c r="BB240" s="41"/>
      <c r="BC240" s="41"/>
      <c r="BD240" s="42"/>
      <c r="BE240" s="41"/>
      <c r="BF240" s="41"/>
      <c r="BG240" s="41"/>
      <c r="BH240" s="42"/>
      <c r="BI240" s="41"/>
      <c r="BJ240" s="41"/>
    </row>
    <row r="241" spans="1:62" s="38" customFormat="1" x14ac:dyDescent="0.25">
      <c r="A241" s="41"/>
      <c r="B241" s="41" t="s">
        <v>747</v>
      </c>
      <c r="C241" s="41" t="s">
        <v>748</v>
      </c>
      <c r="D241" s="41"/>
      <c r="E241" s="41" t="s">
        <v>17</v>
      </c>
      <c r="F241" s="41">
        <v>2025</v>
      </c>
      <c r="G241" s="41" t="s">
        <v>1346</v>
      </c>
      <c r="H241" s="41"/>
      <c r="I241" s="43"/>
      <c r="J241" s="41"/>
      <c r="K241" s="41"/>
      <c r="L241" s="41" t="s">
        <v>120</v>
      </c>
      <c r="M241" s="41">
        <v>50913</v>
      </c>
      <c r="N241" s="41" t="s">
        <v>749</v>
      </c>
      <c r="O241" s="41" t="s">
        <v>106</v>
      </c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  <c r="AC241" s="41"/>
      <c r="AD241" s="41"/>
      <c r="AE241" s="41"/>
      <c r="AF241" s="41"/>
      <c r="AG241" s="42"/>
      <c r="AH241" s="41"/>
      <c r="AI241" s="41"/>
      <c r="AJ241" s="41"/>
      <c r="AK241" s="41"/>
      <c r="AL241" s="41"/>
      <c r="AM241" s="41"/>
      <c r="AN241" s="41"/>
      <c r="AO241" s="41"/>
      <c r="AP241" s="41"/>
      <c r="AQ241" s="41"/>
      <c r="AR241" s="41"/>
      <c r="AS241" s="41"/>
      <c r="AT241" s="41"/>
      <c r="AU241" s="41"/>
      <c r="AV241" s="41"/>
      <c r="AW241" s="41"/>
      <c r="AX241" s="41"/>
      <c r="AY241" s="41"/>
      <c r="AZ241" s="41"/>
      <c r="BA241" s="41"/>
      <c r="BB241" s="41"/>
      <c r="BC241" s="41"/>
      <c r="BD241" s="42"/>
      <c r="BE241" s="41"/>
      <c r="BF241" s="41"/>
      <c r="BG241" s="41"/>
      <c r="BH241" s="42"/>
      <c r="BI241" s="41"/>
      <c r="BJ241" s="41"/>
    </row>
    <row r="242" spans="1:62" s="38" customFormat="1" x14ac:dyDescent="0.25">
      <c r="A242" s="41"/>
      <c r="B242" s="41" t="s">
        <v>750</v>
      </c>
      <c r="C242" s="41" t="s">
        <v>751</v>
      </c>
      <c r="D242" s="41"/>
      <c r="E242" s="41" t="s">
        <v>17</v>
      </c>
      <c r="F242" s="41">
        <v>2025</v>
      </c>
      <c r="G242" s="41" t="s">
        <v>1346</v>
      </c>
      <c r="H242" s="41"/>
      <c r="I242" s="43"/>
      <c r="J242" s="41"/>
      <c r="K242" s="41"/>
      <c r="L242" s="41" t="s">
        <v>73</v>
      </c>
      <c r="M242" s="41">
        <v>100954</v>
      </c>
      <c r="N242" s="41" t="s">
        <v>752</v>
      </c>
      <c r="O242" s="41" t="s">
        <v>111</v>
      </c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  <c r="AC242" s="41"/>
      <c r="AD242" s="41"/>
      <c r="AE242" s="41"/>
      <c r="AF242" s="41"/>
      <c r="AG242" s="42"/>
      <c r="AH242" s="41"/>
      <c r="AI242" s="41"/>
      <c r="AJ242" s="41"/>
      <c r="AK242" s="41"/>
      <c r="AL242" s="41"/>
      <c r="AM242" s="41"/>
      <c r="AN242" s="41"/>
      <c r="AO242" s="41"/>
      <c r="AP242" s="41"/>
      <c r="AQ242" s="41"/>
      <c r="AR242" s="41"/>
      <c r="AS242" s="41"/>
      <c r="AT242" s="41"/>
      <c r="AU242" s="41"/>
      <c r="AV242" s="41"/>
      <c r="AW242" s="41"/>
      <c r="AX242" s="41"/>
      <c r="AY242" s="41"/>
      <c r="AZ242" s="41"/>
      <c r="BA242" s="41"/>
      <c r="BB242" s="41"/>
      <c r="BC242" s="41"/>
      <c r="BD242" s="42"/>
      <c r="BE242" s="41"/>
      <c r="BF242" s="41"/>
      <c r="BG242" s="41"/>
      <c r="BH242" s="42"/>
      <c r="BI242" s="41"/>
      <c r="BJ242" s="41"/>
    </row>
    <row r="243" spans="1:62" s="38" customFormat="1" x14ac:dyDescent="0.25">
      <c r="A243" s="41"/>
      <c r="B243" s="41" t="s">
        <v>753</v>
      </c>
      <c r="C243" s="41" t="s">
        <v>754</v>
      </c>
      <c r="D243" s="41"/>
      <c r="E243" s="41" t="s">
        <v>17</v>
      </c>
      <c r="F243" s="41">
        <v>2025</v>
      </c>
      <c r="G243" s="41" t="s">
        <v>1346</v>
      </c>
      <c r="H243" s="41"/>
      <c r="I243" s="43"/>
      <c r="J243" s="41"/>
      <c r="K243" s="41"/>
      <c r="L243" s="41" t="s">
        <v>268</v>
      </c>
      <c r="M243" s="41">
        <v>50907</v>
      </c>
      <c r="N243" s="41" t="s">
        <v>755</v>
      </c>
      <c r="O243" s="41" t="s">
        <v>67</v>
      </c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1"/>
      <c r="AC243" s="41"/>
      <c r="AD243" s="41"/>
      <c r="AE243" s="41"/>
      <c r="AF243" s="41"/>
      <c r="AG243" s="42"/>
      <c r="AH243" s="41"/>
      <c r="AI243" s="41"/>
      <c r="AJ243" s="41"/>
      <c r="AK243" s="41"/>
      <c r="AL243" s="41"/>
      <c r="AM243" s="41"/>
      <c r="AN243" s="41"/>
      <c r="AO243" s="41"/>
      <c r="AP243" s="41"/>
      <c r="AQ243" s="41"/>
      <c r="AR243" s="41"/>
      <c r="AS243" s="41"/>
      <c r="AT243" s="41"/>
      <c r="AU243" s="41"/>
      <c r="AV243" s="41"/>
      <c r="AW243" s="41"/>
      <c r="AX243" s="41"/>
      <c r="AY243" s="41"/>
      <c r="AZ243" s="41"/>
      <c r="BA243" s="41"/>
      <c r="BB243" s="41"/>
      <c r="BC243" s="41"/>
      <c r="BD243" s="42"/>
      <c r="BE243" s="41"/>
      <c r="BF243" s="41"/>
      <c r="BG243" s="41"/>
      <c r="BH243" s="42"/>
      <c r="BI243" s="41"/>
      <c r="BJ243" s="41"/>
    </row>
    <row r="244" spans="1:62" s="38" customFormat="1" x14ac:dyDescent="0.25">
      <c r="A244" s="41"/>
      <c r="B244" s="41" t="s">
        <v>756</v>
      </c>
      <c r="C244" s="41" t="s">
        <v>757</v>
      </c>
      <c r="D244" s="41"/>
      <c r="E244" s="41" t="s">
        <v>17</v>
      </c>
      <c r="F244" s="41">
        <v>2025</v>
      </c>
      <c r="G244" s="41" t="s">
        <v>1346</v>
      </c>
      <c r="H244" s="41"/>
      <c r="I244" s="43"/>
      <c r="J244" s="41"/>
      <c r="K244" s="41"/>
      <c r="L244" s="41" t="s">
        <v>77</v>
      </c>
      <c r="M244" s="41">
        <v>100907</v>
      </c>
      <c r="N244" s="41" t="s">
        <v>758</v>
      </c>
      <c r="O244" s="41" t="s">
        <v>272</v>
      </c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  <c r="AC244" s="41"/>
      <c r="AD244" s="41"/>
      <c r="AE244" s="41"/>
      <c r="AF244" s="41"/>
      <c r="AG244" s="42"/>
      <c r="AH244" s="41"/>
      <c r="AI244" s="41"/>
      <c r="AJ244" s="41"/>
      <c r="AK244" s="41"/>
      <c r="AL244" s="41"/>
      <c r="AM244" s="41"/>
      <c r="AN244" s="41"/>
      <c r="AO244" s="41"/>
      <c r="AP244" s="41"/>
      <c r="AQ244" s="41"/>
      <c r="AR244" s="41"/>
      <c r="AS244" s="41"/>
      <c r="AT244" s="41"/>
      <c r="AU244" s="41"/>
      <c r="AV244" s="41"/>
      <c r="AW244" s="41"/>
      <c r="AX244" s="41"/>
      <c r="AY244" s="41"/>
      <c r="AZ244" s="41"/>
      <c r="BA244" s="41"/>
      <c r="BB244" s="41"/>
      <c r="BC244" s="41"/>
      <c r="BD244" s="42"/>
      <c r="BE244" s="41"/>
      <c r="BF244" s="41"/>
      <c r="BG244" s="41"/>
      <c r="BH244" s="42"/>
      <c r="BI244" s="41"/>
      <c r="BJ244" s="41"/>
    </row>
    <row r="245" spans="1:62" s="38" customFormat="1" x14ac:dyDescent="0.25">
      <c r="A245" s="41"/>
      <c r="B245" s="41" t="s">
        <v>759</v>
      </c>
      <c r="C245" s="41" t="s">
        <v>760</v>
      </c>
      <c r="D245" s="41"/>
      <c r="E245" s="41" t="s">
        <v>17</v>
      </c>
      <c r="F245" s="41">
        <v>2025</v>
      </c>
      <c r="G245" s="41" t="s">
        <v>1346</v>
      </c>
      <c r="H245" s="41"/>
      <c r="I245" s="43"/>
      <c r="J245" s="41"/>
      <c r="K245" s="41"/>
      <c r="L245" s="41" t="s">
        <v>77</v>
      </c>
      <c r="M245" s="41">
        <v>50926</v>
      </c>
      <c r="N245" s="41" t="s">
        <v>761</v>
      </c>
      <c r="O245" s="41" t="s">
        <v>258</v>
      </c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  <c r="AC245" s="41"/>
      <c r="AD245" s="41"/>
      <c r="AE245" s="41"/>
      <c r="AF245" s="41"/>
      <c r="AG245" s="42"/>
      <c r="AH245" s="41"/>
      <c r="AI245" s="41"/>
      <c r="AJ245" s="41"/>
      <c r="AK245" s="41"/>
      <c r="AL245" s="41"/>
      <c r="AM245" s="41"/>
      <c r="AN245" s="41"/>
      <c r="AO245" s="41"/>
      <c r="AP245" s="41"/>
      <c r="AQ245" s="41"/>
      <c r="AR245" s="41"/>
      <c r="AS245" s="41"/>
      <c r="AT245" s="41"/>
      <c r="AU245" s="41"/>
      <c r="AV245" s="41"/>
      <c r="AW245" s="41"/>
      <c r="AX245" s="41"/>
      <c r="AY245" s="41"/>
      <c r="AZ245" s="41"/>
      <c r="BA245" s="41"/>
      <c r="BB245" s="41"/>
      <c r="BC245" s="41"/>
      <c r="BD245" s="42"/>
      <c r="BE245" s="41"/>
      <c r="BF245" s="41"/>
      <c r="BG245" s="41"/>
      <c r="BH245" s="42"/>
      <c r="BI245" s="41"/>
      <c r="BJ245" s="41"/>
    </row>
    <row r="246" spans="1:62" s="38" customFormat="1" x14ac:dyDescent="0.25">
      <c r="A246" s="41"/>
      <c r="B246" s="41" t="s">
        <v>762</v>
      </c>
      <c r="C246" s="41" t="s">
        <v>763</v>
      </c>
      <c r="D246" s="41"/>
      <c r="E246" s="41" t="s">
        <v>17</v>
      </c>
      <c r="F246" s="41">
        <v>2025</v>
      </c>
      <c r="G246" s="41" t="s">
        <v>1346</v>
      </c>
      <c r="H246" s="41"/>
      <c r="I246" s="43"/>
      <c r="J246" s="41"/>
      <c r="K246" s="41"/>
      <c r="L246" s="41" t="s">
        <v>268</v>
      </c>
      <c r="M246" s="41">
        <v>50987</v>
      </c>
      <c r="N246" s="41" t="s">
        <v>764</v>
      </c>
      <c r="O246" s="41" t="s">
        <v>79</v>
      </c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  <c r="AC246" s="41"/>
      <c r="AD246" s="41"/>
      <c r="AE246" s="41"/>
      <c r="AF246" s="41"/>
      <c r="AG246" s="42"/>
      <c r="AH246" s="41"/>
      <c r="AI246" s="41"/>
      <c r="AJ246" s="41"/>
      <c r="AK246" s="41"/>
      <c r="AL246" s="41"/>
      <c r="AM246" s="41"/>
      <c r="AN246" s="41"/>
      <c r="AO246" s="41"/>
      <c r="AP246" s="41"/>
      <c r="AQ246" s="41"/>
      <c r="AR246" s="41"/>
      <c r="AS246" s="41"/>
      <c r="AT246" s="41"/>
      <c r="AU246" s="41"/>
      <c r="AV246" s="41"/>
      <c r="AW246" s="41"/>
      <c r="AX246" s="41"/>
      <c r="AY246" s="41"/>
      <c r="AZ246" s="41"/>
      <c r="BA246" s="41"/>
      <c r="BB246" s="41"/>
      <c r="BC246" s="41"/>
      <c r="BD246" s="42"/>
      <c r="BE246" s="41"/>
      <c r="BF246" s="41"/>
      <c r="BG246" s="41"/>
      <c r="BH246" s="42"/>
      <c r="BI246" s="41"/>
      <c r="BJ246" s="41"/>
    </row>
    <row r="247" spans="1:62" s="38" customFormat="1" x14ac:dyDescent="0.25">
      <c r="A247" s="41"/>
      <c r="B247" s="41" t="s">
        <v>765</v>
      </c>
      <c r="C247" s="41" t="s">
        <v>766</v>
      </c>
      <c r="D247" s="41"/>
      <c r="E247" s="41" t="s">
        <v>17</v>
      </c>
      <c r="F247" s="41">
        <v>2025</v>
      </c>
      <c r="G247" s="41" t="s">
        <v>1346</v>
      </c>
      <c r="H247" s="41"/>
      <c r="I247" s="43"/>
      <c r="J247" s="41"/>
      <c r="K247" s="41"/>
      <c r="L247" s="41" t="s">
        <v>767</v>
      </c>
      <c r="M247" s="41">
        <v>200912</v>
      </c>
      <c r="N247" s="41" t="s">
        <v>768</v>
      </c>
      <c r="O247" s="41" t="s">
        <v>235</v>
      </c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1"/>
      <c r="AC247" s="41"/>
      <c r="AD247" s="41"/>
      <c r="AE247" s="41"/>
      <c r="AF247" s="41"/>
      <c r="AG247" s="42"/>
      <c r="AH247" s="41"/>
      <c r="AI247" s="41"/>
      <c r="AJ247" s="41"/>
      <c r="AK247" s="41"/>
      <c r="AL247" s="41"/>
      <c r="AM247" s="41"/>
      <c r="AN247" s="41"/>
      <c r="AO247" s="41"/>
      <c r="AP247" s="41"/>
      <c r="AQ247" s="41"/>
      <c r="AR247" s="41"/>
      <c r="AS247" s="41"/>
      <c r="AT247" s="41"/>
      <c r="AU247" s="41"/>
      <c r="AV247" s="41"/>
      <c r="AW247" s="41"/>
      <c r="AX247" s="41"/>
      <c r="AY247" s="41"/>
      <c r="AZ247" s="41"/>
      <c r="BA247" s="41"/>
      <c r="BB247" s="41"/>
      <c r="BC247" s="41"/>
      <c r="BD247" s="42"/>
      <c r="BE247" s="41"/>
      <c r="BF247" s="41"/>
      <c r="BG247" s="41"/>
      <c r="BH247" s="42"/>
      <c r="BI247" s="41"/>
      <c r="BJ247" s="41"/>
    </row>
    <row r="248" spans="1:62" s="38" customFormat="1" x14ac:dyDescent="0.25">
      <c r="A248" s="41"/>
      <c r="B248" s="41" t="s">
        <v>769</v>
      </c>
      <c r="C248" s="41" t="s">
        <v>770</v>
      </c>
      <c r="D248" s="41"/>
      <c r="E248" s="41" t="s">
        <v>17</v>
      </c>
      <c r="F248" s="41">
        <v>2025</v>
      </c>
      <c r="G248" s="41" t="s">
        <v>1346</v>
      </c>
      <c r="H248" s="41"/>
      <c r="I248" s="43"/>
      <c r="J248" s="41"/>
      <c r="K248" s="41"/>
      <c r="L248" s="41" t="s">
        <v>431</v>
      </c>
      <c r="M248" s="41">
        <v>100944</v>
      </c>
      <c r="N248" s="41" t="s">
        <v>771</v>
      </c>
      <c r="O248" s="41" t="s">
        <v>106</v>
      </c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1"/>
      <c r="AC248" s="41"/>
      <c r="AD248" s="41"/>
      <c r="AE248" s="41"/>
      <c r="AF248" s="41"/>
      <c r="AG248" s="42"/>
      <c r="AH248" s="41"/>
      <c r="AI248" s="41"/>
      <c r="AJ248" s="41"/>
      <c r="AK248" s="41"/>
      <c r="AL248" s="41"/>
      <c r="AM248" s="41"/>
      <c r="AN248" s="41"/>
      <c r="AO248" s="41"/>
      <c r="AP248" s="41"/>
      <c r="AQ248" s="41"/>
      <c r="AR248" s="41"/>
      <c r="AS248" s="41"/>
      <c r="AT248" s="41"/>
      <c r="AU248" s="41"/>
      <c r="AV248" s="41"/>
      <c r="AW248" s="41"/>
      <c r="AX248" s="41"/>
      <c r="AY248" s="41"/>
      <c r="AZ248" s="41"/>
      <c r="BA248" s="41"/>
      <c r="BB248" s="41"/>
      <c r="BC248" s="41"/>
      <c r="BD248" s="42"/>
      <c r="BE248" s="41"/>
      <c r="BF248" s="41"/>
      <c r="BG248" s="41"/>
      <c r="BH248" s="42"/>
      <c r="BI248" s="41"/>
      <c r="BJ248" s="41"/>
    </row>
    <row r="249" spans="1:62" s="38" customFormat="1" x14ac:dyDescent="0.25">
      <c r="A249" s="41"/>
      <c r="B249" s="41" t="s">
        <v>772</v>
      </c>
      <c r="C249" s="41" t="s">
        <v>773</v>
      </c>
      <c r="D249" s="41"/>
      <c r="E249" s="41" t="s">
        <v>17</v>
      </c>
      <c r="F249" s="41">
        <v>2025</v>
      </c>
      <c r="G249" s="41" t="s">
        <v>1346</v>
      </c>
      <c r="H249" s="41"/>
      <c r="I249" s="43"/>
      <c r="J249" s="41"/>
      <c r="K249" s="41"/>
      <c r="L249" s="41" t="s">
        <v>268</v>
      </c>
      <c r="M249" s="41">
        <v>100911</v>
      </c>
      <c r="N249" s="41" t="s">
        <v>774</v>
      </c>
      <c r="O249" s="41" t="s">
        <v>111</v>
      </c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  <c r="AC249" s="41"/>
      <c r="AD249" s="41"/>
      <c r="AE249" s="41"/>
      <c r="AF249" s="41"/>
      <c r="AG249" s="42"/>
      <c r="AH249" s="41"/>
      <c r="AI249" s="41"/>
      <c r="AJ249" s="41"/>
      <c r="AK249" s="41"/>
      <c r="AL249" s="41"/>
      <c r="AM249" s="41"/>
      <c r="AN249" s="41"/>
      <c r="AO249" s="41"/>
      <c r="AP249" s="41"/>
      <c r="AQ249" s="41"/>
      <c r="AR249" s="41"/>
      <c r="AS249" s="41"/>
      <c r="AT249" s="41"/>
      <c r="AU249" s="41"/>
      <c r="AV249" s="41"/>
      <c r="AW249" s="41"/>
      <c r="AX249" s="41"/>
      <c r="AY249" s="41"/>
      <c r="AZ249" s="41"/>
      <c r="BA249" s="41"/>
      <c r="BB249" s="41"/>
      <c r="BC249" s="41"/>
      <c r="BD249" s="42"/>
      <c r="BE249" s="41"/>
      <c r="BF249" s="41"/>
      <c r="BG249" s="41"/>
      <c r="BH249" s="42"/>
      <c r="BI249" s="41"/>
      <c r="BJ249" s="41"/>
    </row>
    <row r="250" spans="1:62" s="38" customFormat="1" x14ac:dyDescent="0.25">
      <c r="A250" s="41"/>
      <c r="B250" s="41" t="s">
        <v>775</v>
      </c>
      <c r="C250" s="41" t="s">
        <v>776</v>
      </c>
      <c r="D250" s="41"/>
      <c r="E250" s="41" t="s">
        <v>17</v>
      </c>
      <c r="F250" s="41">
        <v>2025</v>
      </c>
      <c r="G250" s="41" t="s">
        <v>1346</v>
      </c>
      <c r="H250" s="41"/>
      <c r="I250" s="43"/>
      <c r="J250" s="41"/>
      <c r="K250" s="41"/>
      <c r="L250" s="41" t="s">
        <v>73</v>
      </c>
      <c r="M250" s="41">
        <v>50974</v>
      </c>
      <c r="N250" s="41" t="s">
        <v>777</v>
      </c>
      <c r="O250" s="41" t="s">
        <v>99</v>
      </c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  <c r="AC250" s="41"/>
      <c r="AD250" s="41"/>
      <c r="AE250" s="41"/>
      <c r="AF250" s="41"/>
      <c r="AG250" s="42"/>
      <c r="AH250" s="41"/>
      <c r="AI250" s="41"/>
      <c r="AJ250" s="41"/>
      <c r="AK250" s="41"/>
      <c r="AL250" s="41"/>
      <c r="AM250" s="41"/>
      <c r="AN250" s="41"/>
      <c r="AO250" s="41"/>
      <c r="AP250" s="41"/>
      <c r="AQ250" s="41"/>
      <c r="AR250" s="41"/>
      <c r="AS250" s="41"/>
      <c r="AT250" s="41"/>
      <c r="AU250" s="41"/>
      <c r="AV250" s="41"/>
      <c r="AW250" s="41"/>
      <c r="AX250" s="41"/>
      <c r="AY250" s="41"/>
      <c r="AZ250" s="41"/>
      <c r="BA250" s="41"/>
      <c r="BB250" s="41"/>
      <c r="BC250" s="41"/>
      <c r="BD250" s="42"/>
      <c r="BE250" s="41"/>
      <c r="BF250" s="41"/>
      <c r="BG250" s="41"/>
      <c r="BH250" s="42"/>
      <c r="BI250" s="41"/>
      <c r="BJ250" s="41"/>
    </row>
    <row r="251" spans="1:62" s="38" customFormat="1" x14ac:dyDescent="0.25">
      <c r="A251" s="41"/>
      <c r="B251" s="41" t="s">
        <v>90</v>
      </c>
      <c r="C251" s="41" t="s">
        <v>778</v>
      </c>
      <c r="D251" s="41"/>
      <c r="E251" s="41" t="s">
        <v>17</v>
      </c>
      <c r="F251" s="41">
        <v>2025</v>
      </c>
      <c r="G251" s="41" t="s">
        <v>1346</v>
      </c>
      <c r="H251" s="41"/>
      <c r="I251" s="43"/>
      <c r="J251" s="41"/>
      <c r="K251" s="41"/>
      <c r="L251" s="41" t="s">
        <v>73</v>
      </c>
      <c r="M251" s="41">
        <v>100910</v>
      </c>
      <c r="N251" s="41" t="s">
        <v>779</v>
      </c>
      <c r="O251" s="41" t="s">
        <v>235</v>
      </c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  <c r="AC251" s="41"/>
      <c r="AD251" s="41"/>
      <c r="AE251" s="41"/>
      <c r="AF251" s="41"/>
      <c r="AG251" s="42"/>
      <c r="AH251" s="41"/>
      <c r="AI251" s="41"/>
      <c r="AJ251" s="41"/>
      <c r="AK251" s="41"/>
      <c r="AL251" s="41"/>
      <c r="AM251" s="41"/>
      <c r="AN251" s="41"/>
      <c r="AO251" s="41"/>
      <c r="AP251" s="41"/>
      <c r="AQ251" s="41"/>
      <c r="AR251" s="41"/>
      <c r="AS251" s="41"/>
      <c r="AT251" s="41"/>
      <c r="AU251" s="41"/>
      <c r="AV251" s="41"/>
      <c r="AW251" s="41"/>
      <c r="AX251" s="41"/>
      <c r="AY251" s="41"/>
      <c r="AZ251" s="41"/>
      <c r="BA251" s="41"/>
      <c r="BB251" s="41"/>
      <c r="BC251" s="41"/>
      <c r="BD251" s="42"/>
      <c r="BE251" s="41"/>
      <c r="BF251" s="41"/>
      <c r="BG251" s="41"/>
      <c r="BH251" s="42"/>
      <c r="BI251" s="41"/>
      <c r="BJ251" s="41"/>
    </row>
    <row r="252" spans="1:62" s="38" customFormat="1" x14ac:dyDescent="0.25">
      <c r="A252" s="41"/>
      <c r="B252" s="41" t="s">
        <v>780</v>
      </c>
      <c r="C252" s="41" t="s">
        <v>781</v>
      </c>
      <c r="D252" s="41"/>
      <c r="E252" s="41" t="s">
        <v>17</v>
      </c>
      <c r="F252" s="41">
        <v>2025</v>
      </c>
      <c r="G252" s="41" t="s">
        <v>1346</v>
      </c>
      <c r="H252" s="41"/>
      <c r="I252" s="43"/>
      <c r="J252" s="41"/>
      <c r="K252" s="41"/>
      <c r="L252" s="41" t="s">
        <v>299</v>
      </c>
      <c r="M252" s="41">
        <v>50950</v>
      </c>
      <c r="N252" s="41" t="s">
        <v>782</v>
      </c>
      <c r="O252" s="41" t="s">
        <v>99</v>
      </c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1"/>
      <c r="AC252" s="41"/>
      <c r="AD252" s="41"/>
      <c r="AE252" s="41"/>
      <c r="AF252" s="41"/>
      <c r="AG252" s="42"/>
      <c r="AH252" s="41"/>
      <c r="AI252" s="41"/>
      <c r="AJ252" s="41"/>
      <c r="AK252" s="41"/>
      <c r="AL252" s="41"/>
      <c r="AM252" s="41"/>
      <c r="AN252" s="41"/>
      <c r="AO252" s="41"/>
      <c r="AP252" s="41"/>
      <c r="AQ252" s="41"/>
      <c r="AR252" s="41"/>
      <c r="AS252" s="41"/>
      <c r="AT252" s="41"/>
      <c r="AU252" s="41"/>
      <c r="AV252" s="41"/>
      <c r="AW252" s="41"/>
      <c r="AX252" s="41"/>
      <c r="AY252" s="41"/>
      <c r="AZ252" s="41"/>
      <c r="BA252" s="41"/>
      <c r="BB252" s="41"/>
      <c r="BC252" s="41"/>
      <c r="BD252" s="42"/>
      <c r="BE252" s="41"/>
      <c r="BF252" s="41"/>
      <c r="BG252" s="41"/>
      <c r="BH252" s="42"/>
      <c r="BI252" s="41"/>
      <c r="BJ252" s="41"/>
    </row>
    <row r="253" spans="1:62" s="38" customFormat="1" x14ac:dyDescent="0.25">
      <c r="A253" s="41"/>
      <c r="B253" s="41" t="s">
        <v>783</v>
      </c>
      <c r="C253" s="41" t="s">
        <v>784</v>
      </c>
      <c r="D253" s="41"/>
      <c r="E253" s="41" t="s">
        <v>17</v>
      </c>
      <c r="F253" s="41">
        <v>2025</v>
      </c>
      <c r="G253" s="41" t="s">
        <v>1346</v>
      </c>
      <c r="H253" s="41"/>
      <c r="I253" s="43"/>
      <c r="J253" s="41"/>
      <c r="K253" s="41"/>
      <c r="L253" s="41" t="s">
        <v>73</v>
      </c>
      <c r="M253" s="41">
        <v>100976</v>
      </c>
      <c r="N253" s="41" t="s">
        <v>785</v>
      </c>
      <c r="O253" s="41" t="s">
        <v>111</v>
      </c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  <c r="AB253" s="41"/>
      <c r="AC253" s="41"/>
      <c r="AD253" s="41"/>
      <c r="AE253" s="41"/>
      <c r="AF253" s="41"/>
      <c r="AG253" s="42"/>
      <c r="AH253" s="41"/>
      <c r="AI253" s="41"/>
      <c r="AJ253" s="41"/>
      <c r="AK253" s="41"/>
      <c r="AL253" s="41"/>
      <c r="AM253" s="41"/>
      <c r="AN253" s="41"/>
      <c r="AO253" s="41"/>
      <c r="AP253" s="41"/>
      <c r="AQ253" s="41"/>
      <c r="AR253" s="41"/>
      <c r="AS253" s="41"/>
      <c r="AT253" s="41"/>
      <c r="AU253" s="41"/>
      <c r="AV253" s="41"/>
      <c r="AW253" s="41"/>
      <c r="AX253" s="41"/>
      <c r="AY253" s="41"/>
      <c r="AZ253" s="41"/>
      <c r="BA253" s="41"/>
      <c r="BB253" s="41"/>
      <c r="BC253" s="41"/>
      <c r="BD253" s="42"/>
      <c r="BE253" s="41"/>
      <c r="BF253" s="41"/>
      <c r="BG253" s="41"/>
      <c r="BH253" s="42"/>
      <c r="BI253" s="41"/>
      <c r="BJ253" s="41"/>
    </row>
    <row r="254" spans="1:62" s="38" customFormat="1" x14ac:dyDescent="0.25">
      <c r="A254" s="41"/>
      <c r="B254" s="41" t="s">
        <v>786</v>
      </c>
      <c r="C254" s="41" t="s">
        <v>787</v>
      </c>
      <c r="D254" s="41"/>
      <c r="E254" s="41" t="s">
        <v>17</v>
      </c>
      <c r="F254" s="41">
        <v>2025</v>
      </c>
      <c r="G254" s="41" t="s">
        <v>1346</v>
      </c>
      <c r="H254" s="41"/>
      <c r="I254" s="43"/>
      <c r="J254" s="41"/>
      <c r="K254" s="41"/>
      <c r="L254" s="41" t="s">
        <v>73</v>
      </c>
      <c r="M254" s="41">
        <v>100995</v>
      </c>
      <c r="N254" s="41" t="s">
        <v>788</v>
      </c>
      <c r="O254" s="41" t="s">
        <v>258</v>
      </c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  <c r="AB254" s="41"/>
      <c r="AC254" s="41"/>
      <c r="AD254" s="41"/>
      <c r="AE254" s="41"/>
      <c r="AF254" s="41"/>
      <c r="AG254" s="42"/>
      <c r="AH254" s="41"/>
      <c r="AI254" s="41"/>
      <c r="AJ254" s="41"/>
      <c r="AK254" s="41"/>
      <c r="AL254" s="41"/>
      <c r="AM254" s="41"/>
      <c r="AN254" s="41"/>
      <c r="AO254" s="41"/>
      <c r="AP254" s="41"/>
      <c r="AQ254" s="41"/>
      <c r="AR254" s="41"/>
      <c r="AS254" s="41"/>
      <c r="AT254" s="41"/>
      <c r="AU254" s="41"/>
      <c r="AV254" s="41"/>
      <c r="AW254" s="41"/>
      <c r="AX254" s="41"/>
      <c r="AY254" s="41"/>
      <c r="AZ254" s="41"/>
      <c r="BA254" s="41"/>
      <c r="BB254" s="41"/>
      <c r="BC254" s="41"/>
      <c r="BD254" s="42"/>
      <c r="BE254" s="41"/>
      <c r="BF254" s="41"/>
      <c r="BG254" s="41"/>
      <c r="BH254" s="42"/>
      <c r="BI254" s="41"/>
      <c r="BJ254" s="41"/>
    </row>
    <row r="255" spans="1:62" s="38" customFormat="1" x14ac:dyDescent="0.25">
      <c r="A255" s="41"/>
      <c r="B255" s="41" t="s">
        <v>789</v>
      </c>
      <c r="C255" s="41" t="s">
        <v>790</v>
      </c>
      <c r="D255" s="41"/>
      <c r="E255" s="41" t="s">
        <v>17</v>
      </c>
      <c r="F255" s="41">
        <v>2025</v>
      </c>
      <c r="G255" s="41" t="s">
        <v>1346</v>
      </c>
      <c r="H255" s="41"/>
      <c r="I255" s="43"/>
      <c r="J255" s="41"/>
      <c r="K255" s="41"/>
      <c r="L255" s="41" t="s">
        <v>77</v>
      </c>
      <c r="M255" s="41">
        <v>100961</v>
      </c>
      <c r="N255" s="41" t="s">
        <v>791</v>
      </c>
      <c r="O255" s="41" t="s">
        <v>272</v>
      </c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  <c r="AB255" s="41"/>
      <c r="AC255" s="41"/>
      <c r="AD255" s="41"/>
      <c r="AE255" s="41"/>
      <c r="AF255" s="41"/>
      <c r="AG255" s="42"/>
      <c r="AH255" s="41"/>
      <c r="AI255" s="41"/>
      <c r="AJ255" s="41"/>
      <c r="AK255" s="41"/>
      <c r="AL255" s="41"/>
      <c r="AM255" s="41"/>
      <c r="AN255" s="41"/>
      <c r="AO255" s="41"/>
      <c r="AP255" s="41"/>
      <c r="AQ255" s="41"/>
      <c r="AR255" s="41"/>
      <c r="AS255" s="41"/>
      <c r="AT255" s="41"/>
      <c r="AU255" s="41"/>
      <c r="AV255" s="41"/>
      <c r="AW255" s="41"/>
      <c r="AX255" s="41"/>
      <c r="AY255" s="41"/>
      <c r="AZ255" s="41"/>
      <c r="BA255" s="41"/>
      <c r="BB255" s="41"/>
      <c r="BC255" s="41"/>
      <c r="BD255" s="42"/>
      <c r="BE255" s="41"/>
      <c r="BF255" s="41"/>
      <c r="BG255" s="41"/>
      <c r="BH255" s="42"/>
      <c r="BI255" s="41"/>
      <c r="BJ255" s="41"/>
    </row>
    <row r="256" spans="1:62" s="38" customFormat="1" x14ac:dyDescent="0.25">
      <c r="A256" s="41"/>
      <c r="B256" s="41" t="s">
        <v>792</v>
      </c>
      <c r="C256" s="41" t="s">
        <v>793</v>
      </c>
      <c r="D256" s="41"/>
      <c r="E256" s="41" t="s">
        <v>17</v>
      </c>
      <c r="F256" s="41">
        <v>2025</v>
      </c>
      <c r="G256" s="41" t="s">
        <v>1346</v>
      </c>
      <c r="H256" s="41"/>
      <c r="I256" s="43"/>
      <c r="J256" s="41"/>
      <c r="K256" s="41"/>
      <c r="L256" s="41" t="s">
        <v>73</v>
      </c>
      <c r="M256" s="41">
        <v>100947</v>
      </c>
      <c r="N256" s="41" t="s">
        <v>794</v>
      </c>
      <c r="O256" s="41" t="s">
        <v>111</v>
      </c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  <c r="AC256" s="41"/>
      <c r="AD256" s="41"/>
      <c r="AE256" s="41"/>
      <c r="AF256" s="41"/>
      <c r="AG256" s="42"/>
      <c r="AH256" s="41"/>
      <c r="AI256" s="41"/>
      <c r="AJ256" s="41"/>
      <c r="AK256" s="41"/>
      <c r="AL256" s="41"/>
      <c r="AM256" s="41"/>
      <c r="AN256" s="41"/>
      <c r="AO256" s="41"/>
      <c r="AP256" s="41"/>
      <c r="AQ256" s="41"/>
      <c r="AR256" s="41"/>
      <c r="AS256" s="41"/>
      <c r="AT256" s="41"/>
      <c r="AU256" s="41"/>
      <c r="AV256" s="41"/>
      <c r="AW256" s="41"/>
      <c r="AX256" s="41"/>
      <c r="AY256" s="41"/>
      <c r="AZ256" s="41"/>
      <c r="BA256" s="41"/>
      <c r="BB256" s="41"/>
      <c r="BC256" s="41"/>
      <c r="BD256" s="42"/>
      <c r="BE256" s="41"/>
      <c r="BF256" s="41"/>
      <c r="BG256" s="41"/>
      <c r="BH256" s="42"/>
      <c r="BI256" s="41"/>
      <c r="BJ256" s="41"/>
    </row>
    <row r="257" spans="1:62" s="38" customFormat="1" x14ac:dyDescent="0.25">
      <c r="A257" s="41"/>
      <c r="B257" s="41" t="s">
        <v>795</v>
      </c>
      <c r="C257" s="41" t="s">
        <v>796</v>
      </c>
      <c r="D257" s="41"/>
      <c r="E257" s="41" t="s">
        <v>17</v>
      </c>
      <c r="F257" s="41">
        <v>2025</v>
      </c>
      <c r="G257" s="41" t="s">
        <v>1346</v>
      </c>
      <c r="H257" s="41"/>
      <c r="I257" s="43"/>
      <c r="J257" s="41"/>
      <c r="K257" s="41"/>
      <c r="L257" s="41" t="s">
        <v>73</v>
      </c>
      <c r="M257" s="41">
        <v>50964</v>
      </c>
      <c r="N257" s="41" t="s">
        <v>797</v>
      </c>
      <c r="O257" s="41" t="s">
        <v>266</v>
      </c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  <c r="AC257" s="41"/>
      <c r="AD257" s="41"/>
      <c r="AE257" s="41"/>
      <c r="AF257" s="41"/>
      <c r="AG257" s="42"/>
      <c r="AH257" s="41"/>
      <c r="AI257" s="41"/>
      <c r="AJ257" s="41"/>
      <c r="AK257" s="41"/>
      <c r="AL257" s="41"/>
      <c r="AM257" s="41"/>
      <c r="AN257" s="41"/>
      <c r="AO257" s="41"/>
      <c r="AP257" s="41"/>
      <c r="AQ257" s="41"/>
      <c r="AR257" s="41"/>
      <c r="AS257" s="41"/>
      <c r="AT257" s="41"/>
      <c r="AU257" s="41"/>
      <c r="AV257" s="41"/>
      <c r="AW257" s="41"/>
      <c r="AX257" s="41"/>
      <c r="AY257" s="41"/>
      <c r="AZ257" s="41"/>
      <c r="BA257" s="41"/>
      <c r="BB257" s="41"/>
      <c r="BC257" s="41"/>
      <c r="BD257" s="42"/>
      <c r="BE257" s="41"/>
      <c r="BF257" s="41"/>
      <c r="BG257" s="41"/>
      <c r="BH257" s="42"/>
      <c r="BI257" s="41"/>
      <c r="BJ257" s="41"/>
    </row>
    <row r="258" spans="1:62" s="38" customFormat="1" x14ac:dyDescent="0.25">
      <c r="A258" s="41"/>
      <c r="B258" s="41" t="s">
        <v>798</v>
      </c>
      <c r="C258" s="41" t="s">
        <v>799</v>
      </c>
      <c r="D258" s="41"/>
      <c r="E258" s="41" t="s">
        <v>17</v>
      </c>
      <c r="F258" s="41">
        <v>2025</v>
      </c>
      <c r="G258" s="41" t="s">
        <v>1346</v>
      </c>
      <c r="H258" s="41"/>
      <c r="I258" s="43"/>
      <c r="J258" s="41"/>
      <c r="K258" s="41"/>
      <c r="L258" s="41" t="s">
        <v>65</v>
      </c>
      <c r="M258" s="41">
        <v>25958</v>
      </c>
      <c r="N258" s="41" t="s">
        <v>800</v>
      </c>
      <c r="O258" s="41" t="s">
        <v>266</v>
      </c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  <c r="AB258" s="41"/>
      <c r="AC258" s="41"/>
      <c r="AD258" s="41"/>
      <c r="AE258" s="41"/>
      <c r="AF258" s="41"/>
      <c r="AG258" s="42"/>
      <c r="AH258" s="41"/>
      <c r="AI258" s="41"/>
      <c r="AJ258" s="41"/>
      <c r="AK258" s="41"/>
      <c r="AL258" s="41"/>
      <c r="AM258" s="41"/>
      <c r="AN258" s="41"/>
      <c r="AO258" s="41"/>
      <c r="AP258" s="41"/>
      <c r="AQ258" s="41"/>
      <c r="AR258" s="41"/>
      <c r="AS258" s="41"/>
      <c r="AT258" s="41"/>
      <c r="AU258" s="41"/>
      <c r="AV258" s="41"/>
      <c r="AW258" s="41"/>
      <c r="AX258" s="41"/>
      <c r="AY258" s="41"/>
      <c r="AZ258" s="41"/>
      <c r="BA258" s="41"/>
      <c r="BB258" s="41"/>
      <c r="BC258" s="41"/>
      <c r="BD258" s="42"/>
      <c r="BE258" s="41"/>
      <c r="BF258" s="41"/>
      <c r="BG258" s="41"/>
      <c r="BH258" s="42"/>
      <c r="BI258" s="41"/>
      <c r="BJ258" s="41"/>
    </row>
    <row r="259" spans="1:62" s="38" customFormat="1" x14ac:dyDescent="0.25">
      <c r="A259" s="41"/>
      <c r="B259" s="41" t="s">
        <v>801</v>
      </c>
      <c r="C259" s="41" t="s">
        <v>802</v>
      </c>
      <c r="D259" s="41"/>
      <c r="E259" s="41" t="s">
        <v>17</v>
      </c>
      <c r="F259" s="41">
        <v>2025</v>
      </c>
      <c r="G259" s="41" t="s">
        <v>1346</v>
      </c>
      <c r="H259" s="41"/>
      <c r="I259" s="43"/>
      <c r="J259" s="41"/>
      <c r="K259" s="41"/>
      <c r="L259" s="41" t="s">
        <v>73</v>
      </c>
      <c r="M259" s="41">
        <v>100928</v>
      </c>
      <c r="N259" s="41" t="s">
        <v>803</v>
      </c>
      <c r="O259" s="41" t="s">
        <v>111</v>
      </c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  <c r="AC259" s="41"/>
      <c r="AD259" s="41"/>
      <c r="AE259" s="41"/>
      <c r="AF259" s="41"/>
      <c r="AG259" s="42"/>
      <c r="AH259" s="41"/>
      <c r="AI259" s="41"/>
      <c r="AJ259" s="41"/>
      <c r="AK259" s="41"/>
      <c r="AL259" s="41"/>
      <c r="AM259" s="41"/>
      <c r="AN259" s="41"/>
      <c r="AO259" s="41"/>
      <c r="AP259" s="41"/>
      <c r="AQ259" s="41"/>
      <c r="AR259" s="41"/>
      <c r="AS259" s="41"/>
      <c r="AT259" s="41"/>
      <c r="AU259" s="41"/>
      <c r="AV259" s="41"/>
      <c r="AW259" s="41"/>
      <c r="AX259" s="41"/>
      <c r="AY259" s="41"/>
      <c r="AZ259" s="41"/>
      <c r="BA259" s="41"/>
      <c r="BB259" s="41"/>
      <c r="BC259" s="41"/>
      <c r="BD259" s="42"/>
      <c r="BE259" s="41"/>
      <c r="BF259" s="41"/>
      <c r="BG259" s="41"/>
      <c r="BH259" s="42"/>
      <c r="BI259" s="41"/>
      <c r="BJ259" s="41"/>
    </row>
    <row r="260" spans="1:62" s="38" customFormat="1" x14ac:dyDescent="0.25">
      <c r="A260" s="41"/>
      <c r="B260" s="41" t="s">
        <v>90</v>
      </c>
      <c r="C260" s="41" t="s">
        <v>805</v>
      </c>
      <c r="D260" s="41"/>
      <c r="E260" s="41" t="s">
        <v>17</v>
      </c>
      <c r="F260" s="41">
        <v>2025</v>
      </c>
      <c r="G260" s="41" t="s">
        <v>1346</v>
      </c>
      <c r="H260" s="41"/>
      <c r="I260" s="43"/>
      <c r="J260" s="41"/>
      <c r="K260" s="41"/>
      <c r="L260" s="41" t="s">
        <v>73</v>
      </c>
      <c r="M260" s="41">
        <v>50947</v>
      </c>
      <c r="N260" s="41" t="s">
        <v>806</v>
      </c>
      <c r="O260" s="41" t="s">
        <v>272</v>
      </c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1"/>
      <c r="AC260" s="41"/>
      <c r="AD260" s="41"/>
      <c r="AE260" s="41"/>
      <c r="AF260" s="41"/>
      <c r="AG260" s="42"/>
      <c r="AH260" s="41"/>
      <c r="AI260" s="41"/>
      <c r="AJ260" s="41"/>
      <c r="AK260" s="41"/>
      <c r="AL260" s="41"/>
      <c r="AM260" s="41"/>
      <c r="AN260" s="41"/>
      <c r="AO260" s="41"/>
      <c r="AP260" s="41"/>
      <c r="AQ260" s="41"/>
      <c r="AR260" s="41"/>
      <c r="AS260" s="41"/>
      <c r="AT260" s="41"/>
      <c r="AU260" s="41"/>
      <c r="AV260" s="41"/>
      <c r="AW260" s="41"/>
      <c r="AX260" s="41"/>
      <c r="AY260" s="41"/>
      <c r="AZ260" s="41"/>
      <c r="BA260" s="41"/>
      <c r="BB260" s="41"/>
      <c r="BC260" s="41"/>
      <c r="BD260" s="42"/>
      <c r="BE260" s="41"/>
      <c r="BF260" s="41"/>
      <c r="BG260" s="41"/>
      <c r="BH260" s="42"/>
      <c r="BI260" s="41"/>
      <c r="BJ260" s="41"/>
    </row>
    <row r="261" spans="1:62" s="38" customFormat="1" x14ac:dyDescent="0.25">
      <c r="A261" s="41"/>
      <c r="B261" s="41" t="s">
        <v>807</v>
      </c>
      <c r="C261" s="41" t="s">
        <v>808</v>
      </c>
      <c r="D261" s="41"/>
      <c r="E261" s="41" t="s">
        <v>17</v>
      </c>
      <c r="F261" s="41">
        <v>2025</v>
      </c>
      <c r="G261" s="41" t="s">
        <v>1346</v>
      </c>
      <c r="H261" s="41"/>
      <c r="I261" s="43"/>
      <c r="J261" s="41"/>
      <c r="K261" s="41"/>
      <c r="L261" s="41" t="s">
        <v>77</v>
      </c>
      <c r="M261" s="41">
        <v>100905</v>
      </c>
      <c r="N261" s="41" t="s">
        <v>809</v>
      </c>
      <c r="O261" s="41" t="s">
        <v>106</v>
      </c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1"/>
      <c r="AC261" s="41"/>
      <c r="AD261" s="41"/>
      <c r="AE261" s="41"/>
      <c r="AF261" s="41"/>
      <c r="AG261" s="42"/>
      <c r="AH261" s="41"/>
      <c r="AI261" s="41"/>
      <c r="AJ261" s="41"/>
      <c r="AK261" s="41"/>
      <c r="AL261" s="41"/>
      <c r="AM261" s="41"/>
      <c r="AN261" s="41"/>
      <c r="AO261" s="41"/>
      <c r="AP261" s="41"/>
      <c r="AQ261" s="41"/>
      <c r="AR261" s="41"/>
      <c r="AS261" s="41"/>
      <c r="AT261" s="41"/>
      <c r="AU261" s="41"/>
      <c r="AV261" s="41"/>
      <c r="AW261" s="41"/>
      <c r="AX261" s="41"/>
      <c r="AY261" s="41"/>
      <c r="AZ261" s="41"/>
      <c r="BA261" s="41"/>
      <c r="BB261" s="41"/>
      <c r="BC261" s="41"/>
      <c r="BD261" s="42"/>
      <c r="BE261" s="41"/>
      <c r="BF261" s="41"/>
      <c r="BG261" s="41"/>
      <c r="BH261" s="42"/>
      <c r="BI261" s="41"/>
      <c r="BJ261" s="41"/>
    </row>
    <row r="262" spans="1:62" s="38" customFormat="1" x14ac:dyDescent="0.25">
      <c r="A262" s="41"/>
      <c r="B262" s="41" t="s">
        <v>810</v>
      </c>
      <c r="C262" s="41" t="s">
        <v>811</v>
      </c>
      <c r="D262" s="41"/>
      <c r="E262" s="41" t="s">
        <v>17</v>
      </c>
      <c r="F262" s="41">
        <v>2025</v>
      </c>
      <c r="G262" s="41" t="s">
        <v>1346</v>
      </c>
      <c r="H262" s="41"/>
      <c r="I262" s="43"/>
      <c r="J262" s="41"/>
      <c r="K262" s="41"/>
      <c r="L262" s="41" t="s">
        <v>77</v>
      </c>
      <c r="M262" s="41">
        <v>100962</v>
      </c>
      <c r="N262" s="41" t="s">
        <v>812</v>
      </c>
      <c r="O262" s="41" t="s">
        <v>79</v>
      </c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  <c r="AB262" s="41"/>
      <c r="AC262" s="41"/>
      <c r="AD262" s="41"/>
      <c r="AE262" s="41"/>
      <c r="AF262" s="41"/>
      <c r="AG262" s="42"/>
      <c r="AH262" s="41"/>
      <c r="AI262" s="41"/>
      <c r="AJ262" s="41"/>
      <c r="AK262" s="41"/>
      <c r="AL262" s="41"/>
      <c r="AM262" s="41"/>
      <c r="AN262" s="41"/>
      <c r="AO262" s="41"/>
      <c r="AP262" s="41"/>
      <c r="AQ262" s="41"/>
      <c r="AR262" s="41"/>
      <c r="AS262" s="41"/>
      <c r="AT262" s="41"/>
      <c r="AU262" s="41"/>
      <c r="AV262" s="41"/>
      <c r="AW262" s="41"/>
      <c r="AX262" s="41"/>
      <c r="AY262" s="41"/>
      <c r="AZ262" s="41"/>
      <c r="BA262" s="41"/>
      <c r="BB262" s="41"/>
      <c r="BC262" s="41"/>
      <c r="BD262" s="42"/>
      <c r="BE262" s="41"/>
      <c r="BF262" s="41"/>
      <c r="BG262" s="41"/>
      <c r="BH262" s="42"/>
      <c r="BI262" s="41"/>
      <c r="BJ262" s="41"/>
    </row>
    <row r="263" spans="1:62" s="38" customFormat="1" x14ac:dyDescent="0.25">
      <c r="A263" s="41"/>
      <c r="B263" s="41" t="s">
        <v>813</v>
      </c>
      <c r="C263" s="41" t="s">
        <v>814</v>
      </c>
      <c r="D263" s="41"/>
      <c r="E263" s="41" t="s">
        <v>17</v>
      </c>
      <c r="F263" s="41">
        <v>2025</v>
      </c>
      <c r="G263" s="41" t="s">
        <v>1346</v>
      </c>
      <c r="H263" s="41"/>
      <c r="I263" s="43"/>
      <c r="J263" s="41"/>
      <c r="K263" s="41"/>
      <c r="L263" s="41" t="s">
        <v>73</v>
      </c>
      <c r="M263" s="41">
        <v>50919</v>
      </c>
      <c r="N263" s="41" t="s">
        <v>815</v>
      </c>
      <c r="O263" s="41" t="s">
        <v>146</v>
      </c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1"/>
      <c r="AC263" s="41"/>
      <c r="AD263" s="41"/>
      <c r="AE263" s="41"/>
      <c r="AF263" s="41"/>
      <c r="AG263" s="42"/>
      <c r="AH263" s="41"/>
      <c r="AI263" s="41"/>
      <c r="AJ263" s="41"/>
      <c r="AK263" s="41"/>
      <c r="AL263" s="41"/>
      <c r="AM263" s="41"/>
      <c r="AN263" s="41"/>
      <c r="AO263" s="41"/>
      <c r="AP263" s="41"/>
      <c r="AQ263" s="41"/>
      <c r="AR263" s="41"/>
      <c r="AS263" s="41"/>
      <c r="AT263" s="41"/>
      <c r="AU263" s="41"/>
      <c r="AV263" s="41"/>
      <c r="AW263" s="41"/>
      <c r="AX263" s="41"/>
      <c r="AY263" s="41"/>
      <c r="AZ263" s="41"/>
      <c r="BA263" s="41"/>
      <c r="BB263" s="41"/>
      <c r="BC263" s="41"/>
      <c r="BD263" s="42"/>
      <c r="BE263" s="41"/>
      <c r="BF263" s="41"/>
      <c r="BG263" s="41"/>
      <c r="BH263" s="42"/>
      <c r="BI263" s="41"/>
      <c r="BJ263" s="41"/>
    </row>
    <row r="264" spans="1:62" s="38" customFormat="1" x14ac:dyDescent="0.25">
      <c r="A264" s="41"/>
      <c r="B264" s="41" t="s">
        <v>816</v>
      </c>
      <c r="C264" s="41" t="s">
        <v>817</v>
      </c>
      <c r="D264" s="41"/>
      <c r="E264" s="41" t="s">
        <v>17</v>
      </c>
      <c r="F264" s="41">
        <v>2025</v>
      </c>
      <c r="G264" s="41" t="s">
        <v>1346</v>
      </c>
      <c r="H264" s="41"/>
      <c r="I264" s="43"/>
      <c r="J264" s="41"/>
      <c r="K264" s="41"/>
      <c r="L264" s="41" t="s">
        <v>268</v>
      </c>
      <c r="M264" s="41">
        <v>200000</v>
      </c>
      <c r="N264" s="41" t="s">
        <v>818</v>
      </c>
      <c r="O264" s="41" t="s">
        <v>272</v>
      </c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1"/>
      <c r="AC264" s="41"/>
      <c r="AD264" s="41"/>
      <c r="AE264" s="41"/>
      <c r="AF264" s="41"/>
      <c r="AG264" s="42"/>
      <c r="AH264" s="41"/>
      <c r="AI264" s="41"/>
      <c r="AJ264" s="41"/>
      <c r="AK264" s="41"/>
      <c r="AL264" s="41"/>
      <c r="AM264" s="41"/>
      <c r="AN264" s="41"/>
      <c r="AO264" s="41"/>
      <c r="AP264" s="41"/>
      <c r="AQ264" s="41"/>
      <c r="AR264" s="41"/>
      <c r="AS264" s="41"/>
      <c r="AT264" s="41"/>
      <c r="AU264" s="41"/>
      <c r="AV264" s="41"/>
      <c r="AW264" s="41"/>
      <c r="AX264" s="41"/>
      <c r="AY264" s="41"/>
      <c r="AZ264" s="41"/>
      <c r="BA264" s="41"/>
      <c r="BB264" s="41"/>
      <c r="BC264" s="41"/>
      <c r="BD264" s="42"/>
      <c r="BE264" s="41"/>
      <c r="BF264" s="41"/>
      <c r="BG264" s="41"/>
      <c r="BH264" s="42"/>
      <c r="BI264" s="41"/>
      <c r="BJ264" s="41"/>
    </row>
    <row r="265" spans="1:62" s="38" customFormat="1" x14ac:dyDescent="0.25">
      <c r="A265" s="41"/>
      <c r="B265" s="41" t="s">
        <v>819</v>
      </c>
      <c r="C265" s="41" t="s">
        <v>820</v>
      </c>
      <c r="D265" s="41"/>
      <c r="E265" s="41" t="s">
        <v>17</v>
      </c>
      <c r="F265" s="41">
        <v>2025</v>
      </c>
      <c r="G265" s="41" t="s">
        <v>1346</v>
      </c>
      <c r="H265" s="41"/>
      <c r="I265" s="43"/>
      <c r="J265" s="41"/>
      <c r="K265" s="41"/>
      <c r="L265" s="41" t="s">
        <v>268</v>
      </c>
      <c r="M265" s="41">
        <v>50921</v>
      </c>
      <c r="N265" s="41" t="s">
        <v>821</v>
      </c>
      <c r="O265" s="41" t="s">
        <v>266</v>
      </c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  <c r="AB265" s="41"/>
      <c r="AC265" s="41"/>
      <c r="AD265" s="41"/>
      <c r="AE265" s="41"/>
      <c r="AF265" s="41"/>
      <c r="AG265" s="42"/>
      <c r="AH265" s="41"/>
      <c r="AI265" s="41"/>
      <c r="AJ265" s="41"/>
      <c r="AK265" s="41"/>
      <c r="AL265" s="41"/>
      <c r="AM265" s="41"/>
      <c r="AN265" s="41"/>
      <c r="AO265" s="41"/>
      <c r="AP265" s="41"/>
      <c r="AQ265" s="41"/>
      <c r="AR265" s="41"/>
      <c r="AS265" s="41"/>
      <c r="AT265" s="41"/>
      <c r="AU265" s="41"/>
      <c r="AV265" s="41"/>
      <c r="AW265" s="41"/>
      <c r="AX265" s="41"/>
      <c r="AY265" s="41"/>
      <c r="AZ265" s="41"/>
      <c r="BA265" s="41"/>
      <c r="BB265" s="41"/>
      <c r="BC265" s="41"/>
      <c r="BD265" s="42"/>
      <c r="BE265" s="41"/>
      <c r="BF265" s="41"/>
      <c r="BG265" s="41"/>
      <c r="BH265" s="42"/>
      <c r="BI265" s="41"/>
      <c r="BJ265" s="41"/>
    </row>
    <row r="266" spans="1:62" s="38" customFormat="1" x14ac:dyDescent="0.25">
      <c r="A266" s="41"/>
      <c r="B266" s="41" t="s">
        <v>546</v>
      </c>
      <c r="C266" s="41" t="s">
        <v>822</v>
      </c>
      <c r="D266" s="41"/>
      <c r="E266" s="41" t="s">
        <v>17</v>
      </c>
      <c r="F266" s="41">
        <v>2025</v>
      </c>
      <c r="G266" s="41" t="s">
        <v>1346</v>
      </c>
      <c r="H266" s="41"/>
      <c r="I266" s="43"/>
      <c r="J266" s="41"/>
      <c r="K266" s="41"/>
      <c r="L266" s="41" t="s">
        <v>73</v>
      </c>
      <c r="M266" s="41">
        <v>100973</v>
      </c>
      <c r="N266" s="41" t="s">
        <v>823</v>
      </c>
      <c r="O266" s="41" t="s">
        <v>146</v>
      </c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  <c r="AC266" s="41"/>
      <c r="AD266" s="41"/>
      <c r="AE266" s="41"/>
      <c r="AF266" s="41"/>
      <c r="AG266" s="42"/>
      <c r="AH266" s="41"/>
      <c r="AI266" s="41"/>
      <c r="AJ266" s="41"/>
      <c r="AK266" s="41"/>
      <c r="AL266" s="41"/>
      <c r="AM266" s="41"/>
      <c r="AN266" s="41"/>
      <c r="AO266" s="41"/>
      <c r="AP266" s="41"/>
      <c r="AQ266" s="41"/>
      <c r="AR266" s="41"/>
      <c r="AS266" s="41"/>
      <c r="AT266" s="41"/>
      <c r="AU266" s="41"/>
      <c r="AV266" s="41"/>
      <c r="AW266" s="41"/>
      <c r="AX266" s="41"/>
      <c r="AY266" s="41"/>
      <c r="AZ266" s="41"/>
      <c r="BA266" s="41"/>
      <c r="BB266" s="41"/>
      <c r="BC266" s="41"/>
      <c r="BD266" s="42"/>
      <c r="BE266" s="41"/>
      <c r="BF266" s="41"/>
      <c r="BG266" s="41"/>
      <c r="BH266" s="42"/>
      <c r="BI266" s="41"/>
      <c r="BJ266" s="41"/>
    </row>
    <row r="267" spans="1:62" s="38" customFormat="1" x14ac:dyDescent="0.25">
      <c r="A267" s="41"/>
      <c r="B267" s="41" t="s">
        <v>90</v>
      </c>
      <c r="C267" s="41" t="s">
        <v>824</v>
      </c>
      <c r="D267" s="41"/>
      <c r="E267" s="41" t="s">
        <v>17</v>
      </c>
      <c r="F267" s="41">
        <v>2025</v>
      </c>
      <c r="G267" s="41" t="s">
        <v>1346</v>
      </c>
      <c r="H267" s="41"/>
      <c r="I267" s="43"/>
      <c r="J267" s="41"/>
      <c r="K267" s="41"/>
      <c r="L267" s="41" t="s">
        <v>73</v>
      </c>
      <c r="M267" s="41">
        <v>250940</v>
      </c>
      <c r="N267" s="41" t="s">
        <v>825</v>
      </c>
      <c r="O267" s="41" t="s">
        <v>67</v>
      </c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  <c r="AB267" s="41"/>
      <c r="AC267" s="41"/>
      <c r="AD267" s="41"/>
      <c r="AE267" s="41"/>
      <c r="AF267" s="41"/>
      <c r="AG267" s="42"/>
      <c r="AH267" s="41"/>
      <c r="AI267" s="41"/>
      <c r="AJ267" s="41"/>
      <c r="AK267" s="41"/>
      <c r="AL267" s="41"/>
      <c r="AM267" s="41"/>
      <c r="AN267" s="41"/>
      <c r="AO267" s="41"/>
      <c r="AP267" s="41"/>
      <c r="AQ267" s="41"/>
      <c r="AR267" s="41"/>
      <c r="AS267" s="41"/>
      <c r="AT267" s="41"/>
      <c r="AU267" s="41"/>
      <c r="AV267" s="41"/>
      <c r="AW267" s="41"/>
      <c r="AX267" s="41"/>
      <c r="AY267" s="41"/>
      <c r="AZ267" s="41"/>
      <c r="BA267" s="41"/>
      <c r="BB267" s="41"/>
      <c r="BC267" s="41"/>
      <c r="BD267" s="42"/>
      <c r="BE267" s="41"/>
      <c r="BF267" s="41"/>
      <c r="BG267" s="41"/>
      <c r="BH267" s="42"/>
      <c r="BI267" s="41"/>
      <c r="BJ267" s="41"/>
    </row>
    <row r="268" spans="1:62" s="38" customFormat="1" x14ac:dyDescent="0.25">
      <c r="A268" s="41"/>
      <c r="B268" s="41" t="s">
        <v>826</v>
      </c>
      <c r="C268" s="41" t="s">
        <v>827</v>
      </c>
      <c r="D268" s="41"/>
      <c r="E268" s="41" t="s">
        <v>17</v>
      </c>
      <c r="F268" s="41">
        <v>2025</v>
      </c>
      <c r="G268" s="41" t="s">
        <v>1346</v>
      </c>
      <c r="H268" s="41"/>
      <c r="I268" s="43"/>
      <c r="J268" s="41"/>
      <c r="K268" s="41"/>
      <c r="L268" s="41" t="s">
        <v>77</v>
      </c>
      <c r="M268" s="41">
        <v>100923</v>
      </c>
      <c r="N268" s="41" t="s">
        <v>828</v>
      </c>
      <c r="O268" s="41" t="s">
        <v>111</v>
      </c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  <c r="AC268" s="41"/>
      <c r="AD268" s="41"/>
      <c r="AE268" s="41"/>
      <c r="AF268" s="41"/>
      <c r="AG268" s="42"/>
      <c r="AH268" s="41"/>
      <c r="AI268" s="41"/>
      <c r="AJ268" s="41"/>
      <c r="AK268" s="41"/>
      <c r="AL268" s="41"/>
      <c r="AM268" s="41"/>
      <c r="AN268" s="41"/>
      <c r="AO268" s="41"/>
      <c r="AP268" s="41"/>
      <c r="AQ268" s="41"/>
      <c r="AR268" s="41"/>
      <c r="AS268" s="41"/>
      <c r="AT268" s="41"/>
      <c r="AU268" s="41"/>
      <c r="AV268" s="41"/>
      <c r="AW268" s="41"/>
      <c r="AX268" s="41"/>
      <c r="AY268" s="41"/>
      <c r="AZ268" s="41"/>
      <c r="BA268" s="41"/>
      <c r="BB268" s="41"/>
      <c r="BC268" s="41"/>
      <c r="BD268" s="42"/>
      <c r="BE268" s="41"/>
      <c r="BF268" s="41"/>
      <c r="BG268" s="41"/>
      <c r="BH268" s="42"/>
      <c r="BI268" s="41"/>
      <c r="BJ268" s="41"/>
    </row>
    <row r="269" spans="1:62" s="38" customFormat="1" x14ac:dyDescent="0.25">
      <c r="A269" s="41"/>
      <c r="B269" s="41" t="s">
        <v>829</v>
      </c>
      <c r="C269" s="41" t="s">
        <v>830</v>
      </c>
      <c r="D269" s="41"/>
      <c r="E269" s="41" t="s">
        <v>17</v>
      </c>
      <c r="F269" s="41">
        <v>2025</v>
      </c>
      <c r="G269" s="41" t="s">
        <v>1346</v>
      </c>
      <c r="H269" s="41"/>
      <c r="I269" s="43"/>
      <c r="J269" s="41"/>
      <c r="K269" s="41"/>
      <c r="L269" s="41" t="s">
        <v>73</v>
      </c>
      <c r="M269" s="41">
        <v>100909</v>
      </c>
      <c r="N269" s="41" t="s">
        <v>831</v>
      </c>
      <c r="O269" s="41" t="s">
        <v>67</v>
      </c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  <c r="AB269" s="41"/>
      <c r="AC269" s="41"/>
      <c r="AD269" s="41"/>
      <c r="AE269" s="41"/>
      <c r="AF269" s="41"/>
      <c r="AG269" s="42"/>
      <c r="AH269" s="41"/>
      <c r="AI269" s="41"/>
      <c r="AJ269" s="41"/>
      <c r="AK269" s="41"/>
      <c r="AL269" s="41"/>
      <c r="AM269" s="41"/>
      <c r="AN269" s="41"/>
      <c r="AO269" s="41"/>
      <c r="AP269" s="41"/>
      <c r="AQ269" s="41"/>
      <c r="AR269" s="41"/>
      <c r="AS269" s="41"/>
      <c r="AT269" s="41"/>
      <c r="AU269" s="41"/>
      <c r="AV269" s="41"/>
      <c r="AW269" s="41"/>
      <c r="AX269" s="41"/>
      <c r="AY269" s="41"/>
      <c r="AZ269" s="41"/>
      <c r="BA269" s="41"/>
      <c r="BB269" s="41"/>
      <c r="BC269" s="41"/>
      <c r="BD269" s="42"/>
      <c r="BE269" s="41"/>
      <c r="BF269" s="41"/>
      <c r="BG269" s="41"/>
      <c r="BH269" s="42"/>
      <c r="BI269" s="41"/>
      <c r="BJ269" s="41"/>
    </row>
    <row r="270" spans="1:62" s="38" customFormat="1" x14ac:dyDescent="0.25">
      <c r="A270" s="41"/>
      <c r="B270" s="41" t="s">
        <v>832</v>
      </c>
      <c r="C270" s="41" t="s">
        <v>833</v>
      </c>
      <c r="D270" s="41"/>
      <c r="E270" s="41" t="s">
        <v>17</v>
      </c>
      <c r="F270" s="41">
        <v>2025</v>
      </c>
      <c r="G270" s="41" t="s">
        <v>1346</v>
      </c>
      <c r="H270" s="41"/>
      <c r="I270" s="43"/>
      <c r="J270" s="41"/>
      <c r="K270" s="41"/>
      <c r="L270" s="41" t="s">
        <v>73</v>
      </c>
      <c r="M270" s="41">
        <v>50941</v>
      </c>
      <c r="N270" s="41" t="s">
        <v>834</v>
      </c>
      <c r="O270" s="41" t="s">
        <v>266</v>
      </c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  <c r="AB270" s="41"/>
      <c r="AC270" s="41"/>
      <c r="AD270" s="41"/>
      <c r="AE270" s="41"/>
      <c r="AF270" s="41"/>
      <c r="AG270" s="42"/>
      <c r="AH270" s="41"/>
      <c r="AI270" s="41"/>
      <c r="AJ270" s="41"/>
      <c r="AK270" s="41"/>
      <c r="AL270" s="41"/>
      <c r="AM270" s="41"/>
      <c r="AN270" s="41"/>
      <c r="AO270" s="41"/>
      <c r="AP270" s="41"/>
      <c r="AQ270" s="41"/>
      <c r="AR270" s="41"/>
      <c r="AS270" s="41"/>
      <c r="AT270" s="41"/>
      <c r="AU270" s="41"/>
      <c r="AV270" s="41"/>
      <c r="AW270" s="41"/>
      <c r="AX270" s="41"/>
      <c r="AY270" s="41"/>
      <c r="AZ270" s="41"/>
      <c r="BA270" s="41"/>
      <c r="BB270" s="41"/>
      <c r="BC270" s="41"/>
      <c r="BD270" s="42"/>
      <c r="BE270" s="41"/>
      <c r="BF270" s="41"/>
      <c r="BG270" s="41"/>
      <c r="BH270" s="42"/>
      <c r="BI270" s="41"/>
      <c r="BJ270" s="41"/>
    </row>
    <row r="271" spans="1:62" s="38" customFormat="1" x14ac:dyDescent="0.25">
      <c r="A271" s="41"/>
      <c r="B271" s="41" t="s">
        <v>835</v>
      </c>
      <c r="C271" s="41" t="s">
        <v>836</v>
      </c>
      <c r="D271" s="41"/>
      <c r="E271" s="41" t="s">
        <v>17</v>
      </c>
      <c r="F271" s="41">
        <v>2025</v>
      </c>
      <c r="G271" s="41" t="s">
        <v>1346</v>
      </c>
      <c r="H271" s="41"/>
      <c r="I271" s="43"/>
      <c r="J271" s="41"/>
      <c r="K271" s="41"/>
      <c r="L271" s="41" t="s">
        <v>268</v>
      </c>
      <c r="M271" s="41">
        <v>100943</v>
      </c>
      <c r="N271" s="41" t="s">
        <v>837</v>
      </c>
      <c r="O271" s="41" t="s">
        <v>67</v>
      </c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  <c r="AB271" s="41"/>
      <c r="AC271" s="41"/>
      <c r="AD271" s="41"/>
      <c r="AE271" s="41"/>
      <c r="AF271" s="41"/>
      <c r="AG271" s="42"/>
      <c r="AH271" s="41"/>
      <c r="AI271" s="41"/>
      <c r="AJ271" s="41"/>
      <c r="AK271" s="41"/>
      <c r="AL271" s="41"/>
      <c r="AM271" s="41"/>
      <c r="AN271" s="41"/>
      <c r="AO271" s="41"/>
      <c r="AP271" s="41"/>
      <c r="AQ271" s="41"/>
      <c r="AR271" s="41"/>
      <c r="AS271" s="41"/>
      <c r="AT271" s="41"/>
      <c r="AU271" s="41"/>
      <c r="AV271" s="41"/>
      <c r="AW271" s="41"/>
      <c r="AX271" s="41"/>
      <c r="AY271" s="41"/>
      <c r="AZ271" s="41"/>
      <c r="BA271" s="41"/>
      <c r="BB271" s="41"/>
      <c r="BC271" s="41"/>
      <c r="BD271" s="42"/>
      <c r="BE271" s="41"/>
      <c r="BF271" s="41"/>
      <c r="BG271" s="41"/>
      <c r="BH271" s="42"/>
      <c r="BI271" s="41"/>
      <c r="BJ271" s="41"/>
    </row>
    <row r="272" spans="1:62" s="38" customFormat="1" x14ac:dyDescent="0.25">
      <c r="A272" s="41"/>
      <c r="B272" s="41" t="s">
        <v>838</v>
      </c>
      <c r="C272" s="41" t="s">
        <v>839</v>
      </c>
      <c r="D272" s="41"/>
      <c r="E272" s="41" t="s">
        <v>17</v>
      </c>
      <c r="F272" s="41">
        <v>2025</v>
      </c>
      <c r="G272" s="41" t="s">
        <v>1346</v>
      </c>
      <c r="H272" s="41"/>
      <c r="I272" s="43"/>
      <c r="J272" s="41"/>
      <c r="K272" s="41"/>
      <c r="L272" s="41" t="s">
        <v>73</v>
      </c>
      <c r="M272" s="41">
        <v>100943</v>
      </c>
      <c r="N272" s="41" t="s">
        <v>840</v>
      </c>
      <c r="O272" s="41" t="s">
        <v>111</v>
      </c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  <c r="AB272" s="41"/>
      <c r="AC272" s="41"/>
      <c r="AD272" s="41"/>
      <c r="AE272" s="41"/>
      <c r="AF272" s="41"/>
      <c r="AG272" s="42"/>
      <c r="AH272" s="41"/>
      <c r="AI272" s="41"/>
      <c r="AJ272" s="41"/>
      <c r="AK272" s="41"/>
      <c r="AL272" s="41"/>
      <c r="AM272" s="41"/>
      <c r="AN272" s="41"/>
      <c r="AO272" s="41"/>
      <c r="AP272" s="41"/>
      <c r="AQ272" s="41"/>
      <c r="AR272" s="41"/>
      <c r="AS272" s="41"/>
      <c r="AT272" s="41"/>
      <c r="AU272" s="41"/>
      <c r="AV272" s="41"/>
      <c r="AW272" s="41"/>
      <c r="AX272" s="41"/>
      <c r="AY272" s="41"/>
      <c r="AZ272" s="41"/>
      <c r="BA272" s="41"/>
      <c r="BB272" s="41"/>
      <c r="BC272" s="41"/>
      <c r="BD272" s="42"/>
      <c r="BE272" s="41"/>
      <c r="BF272" s="41"/>
      <c r="BG272" s="41"/>
      <c r="BH272" s="42"/>
      <c r="BI272" s="41"/>
      <c r="BJ272" s="41"/>
    </row>
    <row r="273" spans="1:62" s="38" customFormat="1" x14ac:dyDescent="0.25">
      <c r="A273" s="41"/>
      <c r="B273" s="41" t="s">
        <v>841</v>
      </c>
      <c r="C273" s="41" t="s">
        <v>842</v>
      </c>
      <c r="D273" s="41"/>
      <c r="E273" s="41" t="s">
        <v>17</v>
      </c>
      <c r="F273" s="41">
        <v>2025</v>
      </c>
      <c r="G273" s="41" t="s">
        <v>1346</v>
      </c>
      <c r="H273" s="41"/>
      <c r="I273" s="43"/>
      <c r="J273" s="41"/>
      <c r="K273" s="41"/>
      <c r="L273" s="41" t="s">
        <v>77</v>
      </c>
      <c r="M273" s="41">
        <v>100919</v>
      </c>
      <c r="N273" s="41" t="s">
        <v>843</v>
      </c>
      <c r="O273" s="41" t="s">
        <v>106</v>
      </c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  <c r="AB273" s="41"/>
      <c r="AC273" s="41"/>
      <c r="AD273" s="41"/>
      <c r="AE273" s="41"/>
      <c r="AF273" s="41"/>
      <c r="AG273" s="42"/>
      <c r="AH273" s="41"/>
      <c r="AI273" s="41"/>
      <c r="AJ273" s="41"/>
      <c r="AK273" s="41"/>
      <c r="AL273" s="41"/>
      <c r="AM273" s="41"/>
      <c r="AN273" s="41"/>
      <c r="AO273" s="41"/>
      <c r="AP273" s="41"/>
      <c r="AQ273" s="41"/>
      <c r="AR273" s="41"/>
      <c r="AS273" s="41"/>
      <c r="AT273" s="41"/>
      <c r="AU273" s="41"/>
      <c r="AV273" s="41"/>
      <c r="AW273" s="41"/>
      <c r="AX273" s="41"/>
      <c r="AY273" s="41"/>
      <c r="AZ273" s="41"/>
      <c r="BA273" s="41"/>
      <c r="BB273" s="41"/>
      <c r="BC273" s="41"/>
      <c r="BD273" s="42"/>
      <c r="BE273" s="41"/>
      <c r="BF273" s="41"/>
      <c r="BG273" s="41"/>
      <c r="BH273" s="42"/>
      <c r="BI273" s="41"/>
      <c r="BJ273" s="41"/>
    </row>
    <row r="274" spans="1:62" s="38" customFormat="1" x14ac:dyDescent="0.25">
      <c r="A274" s="41"/>
      <c r="B274" s="41" t="s">
        <v>844</v>
      </c>
      <c r="C274" s="41" t="s">
        <v>845</v>
      </c>
      <c r="D274" s="41"/>
      <c r="E274" s="41" t="s">
        <v>17</v>
      </c>
      <c r="F274" s="41">
        <v>2025</v>
      </c>
      <c r="G274" s="41" t="s">
        <v>1346</v>
      </c>
      <c r="H274" s="41"/>
      <c r="I274" s="43"/>
      <c r="J274" s="41"/>
      <c r="K274" s="41"/>
      <c r="L274" s="41" t="s">
        <v>77</v>
      </c>
      <c r="M274" s="41">
        <v>50962</v>
      </c>
      <c r="N274" s="41" t="s">
        <v>846</v>
      </c>
      <c r="O274" s="41" t="s">
        <v>235</v>
      </c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  <c r="AB274" s="41"/>
      <c r="AC274" s="41"/>
      <c r="AD274" s="41"/>
      <c r="AE274" s="41"/>
      <c r="AF274" s="41"/>
      <c r="AG274" s="42"/>
      <c r="AH274" s="41"/>
      <c r="AI274" s="41"/>
      <c r="AJ274" s="41"/>
      <c r="AK274" s="41"/>
      <c r="AL274" s="41"/>
      <c r="AM274" s="41"/>
      <c r="AN274" s="41"/>
      <c r="AO274" s="41"/>
      <c r="AP274" s="41"/>
      <c r="AQ274" s="41"/>
      <c r="AR274" s="41"/>
      <c r="AS274" s="41"/>
      <c r="AT274" s="41"/>
      <c r="AU274" s="41"/>
      <c r="AV274" s="41"/>
      <c r="AW274" s="41"/>
      <c r="AX274" s="41"/>
      <c r="AY274" s="41"/>
      <c r="AZ274" s="41"/>
      <c r="BA274" s="41"/>
      <c r="BB274" s="41"/>
      <c r="BC274" s="41"/>
      <c r="BD274" s="42"/>
      <c r="BE274" s="41"/>
      <c r="BF274" s="41"/>
      <c r="BG274" s="41"/>
      <c r="BH274" s="42"/>
      <c r="BI274" s="41"/>
      <c r="BJ274" s="41"/>
    </row>
    <row r="275" spans="1:62" s="38" customFormat="1" x14ac:dyDescent="0.25">
      <c r="A275" s="41"/>
      <c r="B275" s="41" t="s">
        <v>847</v>
      </c>
      <c r="C275" s="41" t="s">
        <v>848</v>
      </c>
      <c r="D275" s="41"/>
      <c r="E275" s="41" t="s">
        <v>17</v>
      </c>
      <c r="F275" s="41">
        <v>2025</v>
      </c>
      <c r="G275" s="41" t="s">
        <v>1346</v>
      </c>
      <c r="H275" s="41"/>
      <c r="I275" s="43"/>
      <c r="J275" s="41"/>
      <c r="K275" s="41"/>
      <c r="L275" s="41" t="s">
        <v>77</v>
      </c>
      <c r="M275" s="41">
        <v>250000</v>
      </c>
      <c r="N275" s="41" t="s">
        <v>849</v>
      </c>
      <c r="O275" s="41" t="s">
        <v>258</v>
      </c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  <c r="AB275" s="41"/>
      <c r="AC275" s="41"/>
      <c r="AD275" s="41"/>
      <c r="AE275" s="41"/>
      <c r="AF275" s="41"/>
      <c r="AG275" s="42"/>
      <c r="AH275" s="41"/>
      <c r="AI275" s="41"/>
      <c r="AJ275" s="41"/>
      <c r="AK275" s="41"/>
      <c r="AL275" s="41"/>
      <c r="AM275" s="41"/>
      <c r="AN275" s="41"/>
      <c r="AO275" s="41"/>
      <c r="AP275" s="41"/>
      <c r="AQ275" s="41"/>
      <c r="AR275" s="41"/>
      <c r="AS275" s="41"/>
      <c r="AT275" s="41"/>
      <c r="AU275" s="41"/>
      <c r="AV275" s="41"/>
      <c r="AW275" s="41"/>
      <c r="AX275" s="41"/>
      <c r="AY275" s="41"/>
      <c r="AZ275" s="41"/>
      <c r="BA275" s="41"/>
      <c r="BB275" s="41"/>
      <c r="BC275" s="41"/>
      <c r="BD275" s="42"/>
      <c r="BE275" s="41"/>
      <c r="BF275" s="41"/>
      <c r="BG275" s="41"/>
      <c r="BH275" s="42"/>
      <c r="BI275" s="41"/>
      <c r="BJ275" s="41"/>
    </row>
    <row r="276" spans="1:62" s="38" customFormat="1" x14ac:dyDescent="0.25">
      <c r="A276" s="41"/>
      <c r="B276" s="41" t="s">
        <v>850</v>
      </c>
      <c r="C276" s="41" t="s">
        <v>851</v>
      </c>
      <c r="D276" s="41"/>
      <c r="E276" s="41" t="s">
        <v>17</v>
      </c>
      <c r="F276" s="41">
        <v>2025</v>
      </c>
      <c r="G276" s="41" t="s">
        <v>1346</v>
      </c>
      <c r="H276" s="41"/>
      <c r="I276" s="43"/>
      <c r="J276" s="41"/>
      <c r="K276" s="41"/>
      <c r="L276" s="41" t="s">
        <v>73</v>
      </c>
      <c r="M276" s="41">
        <v>100997</v>
      </c>
      <c r="N276" s="41" t="s">
        <v>852</v>
      </c>
      <c r="O276" s="41" t="s">
        <v>67</v>
      </c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  <c r="AB276" s="41"/>
      <c r="AC276" s="41"/>
      <c r="AD276" s="41"/>
      <c r="AE276" s="41"/>
      <c r="AF276" s="41"/>
      <c r="AG276" s="42"/>
      <c r="AH276" s="41"/>
      <c r="AI276" s="41"/>
      <c r="AJ276" s="41"/>
      <c r="AK276" s="41"/>
      <c r="AL276" s="41"/>
      <c r="AM276" s="41"/>
      <c r="AN276" s="41"/>
      <c r="AO276" s="41"/>
      <c r="AP276" s="41"/>
      <c r="AQ276" s="41"/>
      <c r="AR276" s="41"/>
      <c r="AS276" s="41"/>
      <c r="AT276" s="41"/>
      <c r="AU276" s="41"/>
      <c r="AV276" s="41"/>
      <c r="AW276" s="41"/>
      <c r="AX276" s="41"/>
      <c r="AY276" s="41"/>
      <c r="AZ276" s="41"/>
      <c r="BA276" s="41"/>
      <c r="BB276" s="41"/>
      <c r="BC276" s="41"/>
      <c r="BD276" s="42"/>
      <c r="BE276" s="41"/>
      <c r="BF276" s="41"/>
      <c r="BG276" s="41"/>
      <c r="BH276" s="42"/>
      <c r="BI276" s="41"/>
      <c r="BJ276" s="41"/>
    </row>
    <row r="277" spans="1:62" s="38" customFormat="1" x14ac:dyDescent="0.25">
      <c r="A277" s="41"/>
      <c r="B277" s="41" t="s">
        <v>853</v>
      </c>
      <c r="C277" s="41" t="s">
        <v>854</v>
      </c>
      <c r="D277" s="41"/>
      <c r="E277" s="41" t="s">
        <v>17</v>
      </c>
      <c r="F277" s="41">
        <v>2025</v>
      </c>
      <c r="G277" s="41" t="s">
        <v>1346</v>
      </c>
      <c r="H277" s="41"/>
      <c r="I277" s="43"/>
      <c r="J277" s="41"/>
      <c r="K277" s="41"/>
      <c r="L277" s="41" t="s">
        <v>73</v>
      </c>
      <c r="M277" s="41">
        <v>100995</v>
      </c>
      <c r="N277" s="41" t="s">
        <v>855</v>
      </c>
      <c r="O277" s="41" t="s">
        <v>258</v>
      </c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  <c r="AB277" s="41"/>
      <c r="AC277" s="41"/>
      <c r="AD277" s="41"/>
      <c r="AE277" s="41"/>
      <c r="AF277" s="41"/>
      <c r="AG277" s="42"/>
      <c r="AH277" s="41"/>
      <c r="AI277" s="41"/>
      <c r="AJ277" s="41"/>
      <c r="AK277" s="41"/>
      <c r="AL277" s="41"/>
      <c r="AM277" s="41"/>
      <c r="AN277" s="41"/>
      <c r="AO277" s="41"/>
      <c r="AP277" s="41"/>
      <c r="AQ277" s="41"/>
      <c r="AR277" s="41"/>
      <c r="AS277" s="41"/>
      <c r="AT277" s="41"/>
      <c r="AU277" s="41"/>
      <c r="AV277" s="41"/>
      <c r="AW277" s="41"/>
      <c r="AX277" s="41"/>
      <c r="AY277" s="41"/>
      <c r="AZ277" s="41"/>
      <c r="BA277" s="41"/>
      <c r="BB277" s="41"/>
      <c r="BC277" s="41"/>
      <c r="BD277" s="42"/>
      <c r="BE277" s="41"/>
      <c r="BF277" s="41"/>
      <c r="BG277" s="41"/>
      <c r="BH277" s="42"/>
      <c r="BI277" s="41"/>
      <c r="BJ277" s="41"/>
    </row>
    <row r="278" spans="1:62" s="38" customFormat="1" x14ac:dyDescent="0.25">
      <c r="A278" s="41"/>
      <c r="B278" s="41" t="s">
        <v>90</v>
      </c>
      <c r="C278" s="41" t="s">
        <v>856</v>
      </c>
      <c r="D278" s="41"/>
      <c r="E278" s="41" t="s">
        <v>17</v>
      </c>
      <c r="F278" s="41">
        <v>2025</v>
      </c>
      <c r="G278" s="41" t="s">
        <v>1346</v>
      </c>
      <c r="H278" s="41"/>
      <c r="I278" s="43"/>
      <c r="J278" s="41"/>
      <c r="K278" s="41"/>
      <c r="L278" s="41" t="s">
        <v>77</v>
      </c>
      <c r="M278" s="41">
        <v>100961</v>
      </c>
      <c r="N278" s="41" t="s">
        <v>857</v>
      </c>
      <c r="O278" s="41" t="s">
        <v>272</v>
      </c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  <c r="AB278" s="41"/>
      <c r="AC278" s="41"/>
      <c r="AD278" s="41"/>
      <c r="AE278" s="41"/>
      <c r="AF278" s="41"/>
      <c r="AG278" s="42"/>
      <c r="AH278" s="41"/>
      <c r="AI278" s="41"/>
      <c r="AJ278" s="41"/>
      <c r="AK278" s="41"/>
      <c r="AL278" s="41"/>
      <c r="AM278" s="41"/>
      <c r="AN278" s="41"/>
      <c r="AO278" s="41"/>
      <c r="AP278" s="41"/>
      <c r="AQ278" s="41"/>
      <c r="AR278" s="41"/>
      <c r="AS278" s="41"/>
      <c r="AT278" s="41"/>
      <c r="AU278" s="41"/>
      <c r="AV278" s="41"/>
      <c r="AW278" s="41"/>
      <c r="AX278" s="41"/>
      <c r="AY278" s="41"/>
      <c r="AZ278" s="41"/>
      <c r="BA278" s="41"/>
      <c r="BB278" s="41"/>
      <c r="BC278" s="41"/>
      <c r="BD278" s="42"/>
      <c r="BE278" s="41"/>
      <c r="BF278" s="41"/>
      <c r="BG278" s="41"/>
      <c r="BH278" s="42"/>
      <c r="BI278" s="41"/>
      <c r="BJ278" s="41"/>
    </row>
    <row r="279" spans="1:62" s="38" customFormat="1" x14ac:dyDescent="0.25">
      <c r="A279" s="41"/>
      <c r="B279" s="41" t="s">
        <v>858</v>
      </c>
      <c r="C279" s="41" t="s">
        <v>859</v>
      </c>
      <c r="D279" s="41"/>
      <c r="E279" s="41" t="s">
        <v>17</v>
      </c>
      <c r="F279" s="41">
        <v>2025</v>
      </c>
      <c r="G279" s="41" t="s">
        <v>1346</v>
      </c>
      <c r="H279" s="41"/>
      <c r="I279" s="43"/>
      <c r="J279" s="41"/>
      <c r="K279" s="41"/>
      <c r="L279" s="41" t="s">
        <v>73</v>
      </c>
      <c r="M279" s="41">
        <v>100935</v>
      </c>
      <c r="N279" s="41" t="s">
        <v>860</v>
      </c>
      <c r="O279" s="41" t="s">
        <v>272</v>
      </c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1"/>
      <c r="AC279" s="41"/>
      <c r="AD279" s="41"/>
      <c r="AE279" s="41"/>
      <c r="AF279" s="41"/>
      <c r="AG279" s="42"/>
      <c r="AH279" s="41"/>
      <c r="AI279" s="41"/>
      <c r="AJ279" s="41"/>
      <c r="AK279" s="41"/>
      <c r="AL279" s="41"/>
      <c r="AM279" s="41"/>
      <c r="AN279" s="41"/>
      <c r="AO279" s="41"/>
      <c r="AP279" s="41"/>
      <c r="AQ279" s="41"/>
      <c r="AR279" s="41"/>
      <c r="AS279" s="41"/>
      <c r="AT279" s="41"/>
      <c r="AU279" s="41"/>
      <c r="AV279" s="41"/>
      <c r="AW279" s="41"/>
      <c r="AX279" s="41"/>
      <c r="AY279" s="41"/>
      <c r="AZ279" s="41"/>
      <c r="BA279" s="41"/>
      <c r="BB279" s="41"/>
      <c r="BC279" s="41"/>
      <c r="BD279" s="42"/>
      <c r="BE279" s="41"/>
      <c r="BF279" s="41"/>
      <c r="BG279" s="41"/>
      <c r="BH279" s="42"/>
      <c r="BI279" s="41"/>
      <c r="BJ279" s="41"/>
    </row>
    <row r="280" spans="1:62" s="38" customFormat="1" x14ac:dyDescent="0.25">
      <c r="A280" s="41"/>
      <c r="B280" s="41" t="s">
        <v>861</v>
      </c>
      <c r="C280" s="41" t="s">
        <v>862</v>
      </c>
      <c r="D280" s="41"/>
      <c r="E280" s="41" t="s">
        <v>17</v>
      </c>
      <c r="F280" s="41">
        <v>2025</v>
      </c>
      <c r="G280" s="41" t="s">
        <v>1346</v>
      </c>
      <c r="H280" s="41"/>
      <c r="I280" s="43"/>
      <c r="J280" s="41"/>
      <c r="K280" s="41"/>
      <c r="L280" s="41" t="s">
        <v>77</v>
      </c>
      <c r="M280" s="41">
        <v>50000</v>
      </c>
      <c r="N280" s="41" t="s">
        <v>863</v>
      </c>
      <c r="O280" s="41" t="s">
        <v>67</v>
      </c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  <c r="AB280" s="41"/>
      <c r="AC280" s="41"/>
      <c r="AD280" s="41"/>
      <c r="AE280" s="41"/>
      <c r="AF280" s="41"/>
      <c r="AG280" s="42"/>
      <c r="AH280" s="41"/>
      <c r="AI280" s="41"/>
      <c r="AJ280" s="41"/>
      <c r="AK280" s="41"/>
      <c r="AL280" s="41"/>
      <c r="AM280" s="41"/>
      <c r="AN280" s="41"/>
      <c r="AO280" s="41"/>
      <c r="AP280" s="41"/>
      <c r="AQ280" s="41"/>
      <c r="AR280" s="41"/>
      <c r="AS280" s="41"/>
      <c r="AT280" s="41"/>
      <c r="AU280" s="41"/>
      <c r="AV280" s="41"/>
      <c r="AW280" s="41"/>
      <c r="AX280" s="41"/>
      <c r="AY280" s="41"/>
      <c r="AZ280" s="41"/>
      <c r="BA280" s="41"/>
      <c r="BB280" s="41"/>
      <c r="BC280" s="41"/>
      <c r="BD280" s="42"/>
      <c r="BE280" s="41"/>
      <c r="BF280" s="41"/>
      <c r="BG280" s="41"/>
      <c r="BH280" s="42"/>
      <c r="BI280" s="41"/>
      <c r="BJ280" s="41"/>
    </row>
    <row r="281" spans="1:62" s="38" customFormat="1" x14ac:dyDescent="0.25">
      <c r="A281" s="41"/>
      <c r="B281" s="41" t="s">
        <v>864</v>
      </c>
      <c r="C281" s="41" t="s">
        <v>865</v>
      </c>
      <c r="D281" s="41"/>
      <c r="E281" s="41" t="s">
        <v>17</v>
      </c>
      <c r="F281" s="41">
        <v>2025</v>
      </c>
      <c r="G281" s="41" t="s">
        <v>1346</v>
      </c>
      <c r="H281" s="41"/>
      <c r="I281" s="43"/>
      <c r="J281" s="41"/>
      <c r="K281" s="41"/>
      <c r="L281" s="41" t="s">
        <v>268</v>
      </c>
      <c r="M281" s="41">
        <v>100975</v>
      </c>
      <c r="N281" s="41" t="s">
        <v>866</v>
      </c>
      <c r="O281" s="41" t="s">
        <v>386</v>
      </c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  <c r="AB281" s="41"/>
      <c r="AC281" s="41"/>
      <c r="AD281" s="41"/>
      <c r="AE281" s="41"/>
      <c r="AF281" s="41"/>
      <c r="AG281" s="42"/>
      <c r="AH281" s="41"/>
      <c r="AI281" s="41"/>
      <c r="AJ281" s="41"/>
      <c r="AK281" s="41"/>
      <c r="AL281" s="41"/>
      <c r="AM281" s="41"/>
      <c r="AN281" s="41"/>
      <c r="AO281" s="41"/>
      <c r="AP281" s="41"/>
      <c r="AQ281" s="41"/>
      <c r="AR281" s="41"/>
      <c r="AS281" s="41"/>
      <c r="AT281" s="41"/>
      <c r="AU281" s="41"/>
      <c r="AV281" s="41"/>
      <c r="AW281" s="41"/>
      <c r="AX281" s="41"/>
      <c r="AY281" s="41"/>
      <c r="AZ281" s="41"/>
      <c r="BA281" s="41"/>
      <c r="BB281" s="41"/>
      <c r="BC281" s="41"/>
      <c r="BD281" s="42"/>
      <c r="BE281" s="41"/>
      <c r="BF281" s="41"/>
      <c r="BG281" s="41"/>
      <c r="BH281" s="42"/>
      <c r="BI281" s="41"/>
      <c r="BJ281" s="41"/>
    </row>
    <row r="282" spans="1:62" s="38" customFormat="1" x14ac:dyDescent="0.25">
      <c r="A282" s="41"/>
      <c r="B282" s="41" t="s">
        <v>867</v>
      </c>
      <c r="C282" s="41" t="s">
        <v>868</v>
      </c>
      <c r="D282" s="41"/>
      <c r="E282" s="41" t="s">
        <v>17</v>
      </c>
      <c r="F282" s="41">
        <v>2025</v>
      </c>
      <c r="G282" s="41" t="s">
        <v>1346</v>
      </c>
      <c r="H282" s="41"/>
      <c r="I282" s="43"/>
      <c r="J282" s="41"/>
      <c r="K282" s="41"/>
      <c r="L282" s="41" t="s">
        <v>77</v>
      </c>
      <c r="M282" s="41">
        <v>50951</v>
      </c>
      <c r="N282" s="41" t="s">
        <v>869</v>
      </c>
      <c r="O282" s="41" t="s">
        <v>272</v>
      </c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  <c r="AB282" s="41"/>
      <c r="AC282" s="41"/>
      <c r="AD282" s="41"/>
      <c r="AE282" s="41"/>
      <c r="AF282" s="41"/>
      <c r="AG282" s="42"/>
      <c r="AH282" s="41"/>
      <c r="AI282" s="41"/>
      <c r="AJ282" s="41"/>
      <c r="AK282" s="41"/>
      <c r="AL282" s="41"/>
      <c r="AM282" s="41"/>
      <c r="AN282" s="41"/>
      <c r="AO282" s="41"/>
      <c r="AP282" s="41"/>
      <c r="AQ282" s="41"/>
      <c r="AR282" s="41"/>
      <c r="AS282" s="41"/>
      <c r="AT282" s="41"/>
      <c r="AU282" s="41"/>
      <c r="AV282" s="41"/>
      <c r="AW282" s="41"/>
      <c r="AX282" s="41"/>
      <c r="AY282" s="41"/>
      <c r="AZ282" s="41"/>
      <c r="BA282" s="41"/>
      <c r="BB282" s="41"/>
      <c r="BC282" s="41"/>
      <c r="BD282" s="42"/>
      <c r="BE282" s="41"/>
      <c r="BF282" s="41"/>
      <c r="BG282" s="41"/>
      <c r="BH282" s="42"/>
      <c r="BI282" s="41"/>
      <c r="BJ282" s="41"/>
    </row>
    <row r="283" spans="1:62" s="38" customFormat="1" x14ac:dyDescent="0.25">
      <c r="A283" s="41"/>
      <c r="B283" s="41" t="s">
        <v>870</v>
      </c>
      <c r="C283" s="41" t="s">
        <v>871</v>
      </c>
      <c r="D283" s="41"/>
      <c r="E283" s="41" t="s">
        <v>17</v>
      </c>
      <c r="F283" s="41">
        <v>2025</v>
      </c>
      <c r="G283" s="41" t="s">
        <v>1346</v>
      </c>
      <c r="H283" s="41"/>
      <c r="I283" s="43"/>
      <c r="J283" s="41"/>
      <c r="K283" s="41"/>
      <c r="L283" s="41" t="s">
        <v>77</v>
      </c>
      <c r="M283" s="41">
        <v>50000</v>
      </c>
      <c r="N283" s="41" t="s">
        <v>872</v>
      </c>
      <c r="O283" s="41" t="s">
        <v>79</v>
      </c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  <c r="AB283" s="41"/>
      <c r="AC283" s="41"/>
      <c r="AD283" s="41"/>
      <c r="AE283" s="41"/>
      <c r="AF283" s="41"/>
      <c r="AG283" s="42"/>
      <c r="AH283" s="41"/>
      <c r="AI283" s="41"/>
      <c r="AJ283" s="41"/>
      <c r="AK283" s="41"/>
      <c r="AL283" s="41"/>
      <c r="AM283" s="41"/>
      <c r="AN283" s="41"/>
      <c r="AO283" s="41"/>
      <c r="AP283" s="41"/>
      <c r="AQ283" s="41"/>
      <c r="AR283" s="41"/>
      <c r="AS283" s="41"/>
      <c r="AT283" s="41"/>
      <c r="AU283" s="41"/>
      <c r="AV283" s="41"/>
      <c r="AW283" s="41"/>
      <c r="AX283" s="41"/>
      <c r="AY283" s="41"/>
      <c r="AZ283" s="41"/>
      <c r="BA283" s="41"/>
      <c r="BB283" s="41"/>
      <c r="BC283" s="41"/>
      <c r="BD283" s="42"/>
      <c r="BE283" s="41"/>
      <c r="BF283" s="41"/>
      <c r="BG283" s="41"/>
      <c r="BH283" s="42"/>
      <c r="BI283" s="41"/>
      <c r="BJ283" s="41"/>
    </row>
    <row r="284" spans="1:62" s="38" customFormat="1" x14ac:dyDescent="0.25">
      <c r="A284" s="41"/>
      <c r="B284" s="41" t="s">
        <v>376</v>
      </c>
      <c r="C284" s="41" t="s">
        <v>873</v>
      </c>
      <c r="D284" s="41"/>
      <c r="E284" s="41" t="s">
        <v>17</v>
      </c>
      <c r="F284" s="41">
        <v>2025</v>
      </c>
      <c r="G284" s="41" t="s">
        <v>1346</v>
      </c>
      <c r="H284" s="41"/>
      <c r="I284" s="43"/>
      <c r="J284" s="41"/>
      <c r="K284" s="41"/>
      <c r="L284" s="41" t="s">
        <v>73</v>
      </c>
      <c r="M284" s="41">
        <v>100000</v>
      </c>
      <c r="N284" s="41" t="s">
        <v>874</v>
      </c>
      <c r="O284" s="41" t="s">
        <v>67</v>
      </c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  <c r="AB284" s="41"/>
      <c r="AC284" s="41"/>
      <c r="AD284" s="41"/>
      <c r="AE284" s="41"/>
      <c r="AF284" s="41"/>
      <c r="AG284" s="42"/>
      <c r="AH284" s="41"/>
      <c r="AI284" s="41"/>
      <c r="AJ284" s="41"/>
      <c r="AK284" s="41"/>
      <c r="AL284" s="41"/>
      <c r="AM284" s="41"/>
      <c r="AN284" s="41"/>
      <c r="AO284" s="41"/>
      <c r="AP284" s="41"/>
      <c r="AQ284" s="41"/>
      <c r="AR284" s="41"/>
      <c r="AS284" s="41"/>
      <c r="AT284" s="41"/>
      <c r="AU284" s="41"/>
      <c r="AV284" s="41"/>
      <c r="AW284" s="41"/>
      <c r="AX284" s="41"/>
      <c r="AY284" s="41"/>
      <c r="AZ284" s="41"/>
      <c r="BA284" s="41"/>
      <c r="BB284" s="41"/>
      <c r="BC284" s="41"/>
      <c r="BD284" s="42"/>
      <c r="BE284" s="41"/>
      <c r="BF284" s="41"/>
      <c r="BG284" s="41"/>
      <c r="BH284" s="42"/>
      <c r="BI284" s="41"/>
      <c r="BJ284" s="41"/>
    </row>
    <row r="285" spans="1:62" s="38" customFormat="1" x14ac:dyDescent="0.25">
      <c r="A285" s="41"/>
      <c r="B285" s="41" t="s">
        <v>875</v>
      </c>
      <c r="C285" s="41" t="s">
        <v>876</v>
      </c>
      <c r="D285" s="41"/>
      <c r="E285" s="41" t="s">
        <v>17</v>
      </c>
      <c r="F285" s="41">
        <v>2025</v>
      </c>
      <c r="G285" s="41" t="s">
        <v>1346</v>
      </c>
      <c r="H285" s="41"/>
      <c r="I285" s="43"/>
      <c r="J285" s="41"/>
      <c r="K285" s="41"/>
      <c r="L285" s="41" t="s">
        <v>77</v>
      </c>
      <c r="M285" s="41">
        <v>100945</v>
      </c>
      <c r="N285" s="41" t="s">
        <v>877</v>
      </c>
      <c r="O285" s="41" t="s">
        <v>235</v>
      </c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  <c r="AB285" s="41"/>
      <c r="AC285" s="41"/>
      <c r="AD285" s="41"/>
      <c r="AE285" s="41"/>
      <c r="AF285" s="41"/>
      <c r="AG285" s="42"/>
      <c r="AH285" s="41"/>
      <c r="AI285" s="41"/>
      <c r="AJ285" s="41"/>
      <c r="AK285" s="41"/>
      <c r="AL285" s="41"/>
      <c r="AM285" s="41"/>
      <c r="AN285" s="41"/>
      <c r="AO285" s="41"/>
      <c r="AP285" s="41"/>
      <c r="AQ285" s="41"/>
      <c r="AR285" s="41"/>
      <c r="AS285" s="41"/>
      <c r="AT285" s="41"/>
      <c r="AU285" s="41"/>
      <c r="AV285" s="41"/>
      <c r="AW285" s="41"/>
      <c r="AX285" s="41"/>
      <c r="AY285" s="41"/>
      <c r="AZ285" s="41"/>
      <c r="BA285" s="41"/>
      <c r="BB285" s="41"/>
      <c r="BC285" s="41"/>
      <c r="BD285" s="42"/>
      <c r="BE285" s="41"/>
      <c r="BF285" s="41"/>
      <c r="BG285" s="41"/>
      <c r="BH285" s="42"/>
      <c r="BI285" s="41"/>
      <c r="BJ285" s="41"/>
    </row>
    <row r="286" spans="1:62" s="38" customFormat="1" x14ac:dyDescent="0.25">
      <c r="A286" s="41"/>
      <c r="B286" s="41" t="s">
        <v>878</v>
      </c>
      <c r="C286" s="41" t="s">
        <v>879</v>
      </c>
      <c r="D286" s="41"/>
      <c r="E286" s="41" t="s">
        <v>17</v>
      </c>
      <c r="F286" s="41">
        <v>2025</v>
      </c>
      <c r="G286" s="41" t="s">
        <v>1346</v>
      </c>
      <c r="H286" s="41"/>
      <c r="I286" s="43"/>
      <c r="J286" s="41"/>
      <c r="K286" s="41"/>
      <c r="L286" s="41" t="s">
        <v>73</v>
      </c>
      <c r="M286" s="41">
        <v>50905</v>
      </c>
      <c r="N286" s="41" t="s">
        <v>880</v>
      </c>
      <c r="O286" s="41" t="s">
        <v>272</v>
      </c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  <c r="AC286" s="41"/>
      <c r="AD286" s="41"/>
      <c r="AE286" s="41"/>
      <c r="AF286" s="41"/>
      <c r="AG286" s="42"/>
      <c r="AH286" s="41"/>
      <c r="AI286" s="41"/>
      <c r="AJ286" s="41"/>
      <c r="AK286" s="41"/>
      <c r="AL286" s="41"/>
      <c r="AM286" s="41"/>
      <c r="AN286" s="41"/>
      <c r="AO286" s="41"/>
      <c r="AP286" s="41"/>
      <c r="AQ286" s="41"/>
      <c r="AR286" s="41"/>
      <c r="AS286" s="41"/>
      <c r="AT286" s="41"/>
      <c r="AU286" s="41"/>
      <c r="AV286" s="41"/>
      <c r="AW286" s="41"/>
      <c r="AX286" s="41"/>
      <c r="AY286" s="41"/>
      <c r="AZ286" s="41"/>
      <c r="BA286" s="41"/>
      <c r="BB286" s="41"/>
      <c r="BC286" s="41"/>
      <c r="BD286" s="42"/>
      <c r="BE286" s="41"/>
      <c r="BF286" s="41"/>
      <c r="BG286" s="41"/>
      <c r="BH286" s="42"/>
      <c r="BI286" s="41"/>
      <c r="BJ286" s="41"/>
    </row>
    <row r="287" spans="1:62" s="38" customFormat="1" x14ac:dyDescent="0.25">
      <c r="A287" s="41"/>
      <c r="B287" s="41" t="s">
        <v>881</v>
      </c>
      <c r="C287" s="41" t="s">
        <v>882</v>
      </c>
      <c r="D287" s="41"/>
      <c r="E287" s="41" t="s">
        <v>17</v>
      </c>
      <c r="F287" s="41">
        <v>2025</v>
      </c>
      <c r="G287" s="41" t="s">
        <v>1346</v>
      </c>
      <c r="H287" s="41"/>
      <c r="I287" s="43"/>
      <c r="J287" s="41"/>
      <c r="K287" s="41"/>
      <c r="L287" s="41" t="s">
        <v>268</v>
      </c>
      <c r="M287" s="41">
        <v>100966</v>
      </c>
      <c r="N287" s="41" t="s">
        <v>883</v>
      </c>
      <c r="O287" s="41" t="s">
        <v>272</v>
      </c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  <c r="AB287" s="41"/>
      <c r="AC287" s="41"/>
      <c r="AD287" s="41"/>
      <c r="AE287" s="41"/>
      <c r="AF287" s="41"/>
      <c r="AG287" s="42"/>
      <c r="AH287" s="41"/>
      <c r="AI287" s="41"/>
      <c r="AJ287" s="41"/>
      <c r="AK287" s="41"/>
      <c r="AL287" s="41"/>
      <c r="AM287" s="41"/>
      <c r="AN287" s="41"/>
      <c r="AO287" s="41"/>
      <c r="AP287" s="41"/>
      <c r="AQ287" s="41"/>
      <c r="AR287" s="41"/>
      <c r="AS287" s="41"/>
      <c r="AT287" s="41"/>
      <c r="AU287" s="41"/>
      <c r="AV287" s="41"/>
      <c r="AW287" s="41"/>
      <c r="AX287" s="41"/>
      <c r="AY287" s="41"/>
      <c r="AZ287" s="41"/>
      <c r="BA287" s="41"/>
      <c r="BB287" s="41"/>
      <c r="BC287" s="41"/>
      <c r="BD287" s="42"/>
      <c r="BE287" s="41"/>
      <c r="BF287" s="41"/>
      <c r="BG287" s="41"/>
      <c r="BH287" s="42"/>
      <c r="BI287" s="41"/>
      <c r="BJ287" s="41"/>
    </row>
    <row r="288" spans="1:62" s="38" customFormat="1" x14ac:dyDescent="0.25">
      <c r="A288" s="41"/>
      <c r="B288" s="41" t="s">
        <v>884</v>
      </c>
      <c r="C288" s="41" t="s">
        <v>885</v>
      </c>
      <c r="D288" s="41"/>
      <c r="E288" s="41" t="s">
        <v>17</v>
      </c>
      <c r="F288" s="41">
        <v>2025</v>
      </c>
      <c r="G288" s="41" t="s">
        <v>1346</v>
      </c>
      <c r="H288" s="41"/>
      <c r="I288" s="43"/>
      <c r="J288" s="41"/>
      <c r="K288" s="41"/>
      <c r="L288" s="41" t="s">
        <v>73</v>
      </c>
      <c r="M288" s="41">
        <v>100981</v>
      </c>
      <c r="N288" s="41" t="s">
        <v>886</v>
      </c>
      <c r="O288" s="41" t="s">
        <v>319</v>
      </c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  <c r="AB288" s="41"/>
      <c r="AC288" s="41"/>
      <c r="AD288" s="41"/>
      <c r="AE288" s="41"/>
      <c r="AF288" s="41"/>
      <c r="AG288" s="42"/>
      <c r="AH288" s="41"/>
      <c r="AI288" s="41"/>
      <c r="AJ288" s="41"/>
      <c r="AK288" s="41"/>
      <c r="AL288" s="41"/>
      <c r="AM288" s="41"/>
      <c r="AN288" s="41"/>
      <c r="AO288" s="41"/>
      <c r="AP288" s="41"/>
      <c r="AQ288" s="41"/>
      <c r="AR288" s="41"/>
      <c r="AS288" s="41"/>
      <c r="AT288" s="41"/>
      <c r="AU288" s="41"/>
      <c r="AV288" s="41"/>
      <c r="AW288" s="41"/>
      <c r="AX288" s="41"/>
      <c r="AY288" s="41"/>
      <c r="AZ288" s="41"/>
      <c r="BA288" s="41"/>
      <c r="BB288" s="41"/>
      <c r="BC288" s="41"/>
      <c r="BD288" s="42"/>
      <c r="BE288" s="41"/>
      <c r="BF288" s="41"/>
      <c r="BG288" s="41"/>
      <c r="BH288" s="42"/>
      <c r="BI288" s="41"/>
      <c r="BJ288" s="41"/>
    </row>
    <row r="289" spans="1:62" s="38" customFormat="1" x14ac:dyDescent="0.25">
      <c r="A289" s="41"/>
      <c r="B289" s="41" t="s">
        <v>90</v>
      </c>
      <c r="C289" s="41" t="s">
        <v>887</v>
      </c>
      <c r="D289" s="41"/>
      <c r="E289" s="41" t="s">
        <v>17</v>
      </c>
      <c r="F289" s="41">
        <v>2025</v>
      </c>
      <c r="G289" s="41" t="s">
        <v>1346</v>
      </c>
      <c r="H289" s="41"/>
      <c r="I289" s="43"/>
      <c r="J289" s="41"/>
      <c r="K289" s="41"/>
      <c r="L289" s="41" t="s">
        <v>299</v>
      </c>
      <c r="M289" s="41">
        <v>50978</v>
      </c>
      <c r="N289" s="41" t="s">
        <v>888</v>
      </c>
      <c r="O289" s="41" t="s">
        <v>111</v>
      </c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  <c r="AB289" s="41"/>
      <c r="AC289" s="41"/>
      <c r="AD289" s="41"/>
      <c r="AE289" s="41"/>
      <c r="AF289" s="41"/>
      <c r="AG289" s="42"/>
      <c r="AH289" s="41"/>
      <c r="AI289" s="41"/>
      <c r="AJ289" s="41"/>
      <c r="AK289" s="41"/>
      <c r="AL289" s="41"/>
      <c r="AM289" s="41"/>
      <c r="AN289" s="41"/>
      <c r="AO289" s="41"/>
      <c r="AP289" s="41"/>
      <c r="AQ289" s="41"/>
      <c r="AR289" s="41"/>
      <c r="AS289" s="41"/>
      <c r="AT289" s="41"/>
      <c r="AU289" s="41"/>
      <c r="AV289" s="41"/>
      <c r="AW289" s="41"/>
      <c r="AX289" s="41"/>
      <c r="AY289" s="41"/>
      <c r="AZ289" s="41"/>
      <c r="BA289" s="41"/>
      <c r="BB289" s="41"/>
      <c r="BC289" s="41"/>
      <c r="BD289" s="42"/>
      <c r="BE289" s="41"/>
      <c r="BF289" s="41"/>
      <c r="BG289" s="41"/>
      <c r="BH289" s="42"/>
      <c r="BI289" s="41"/>
      <c r="BJ289" s="41"/>
    </row>
    <row r="290" spans="1:62" s="38" customFormat="1" x14ac:dyDescent="0.25">
      <c r="A290" s="41"/>
      <c r="B290" s="41" t="s">
        <v>889</v>
      </c>
      <c r="C290" s="41" t="s">
        <v>890</v>
      </c>
      <c r="D290" s="41"/>
      <c r="E290" s="41" t="s">
        <v>17</v>
      </c>
      <c r="F290" s="41">
        <v>2025</v>
      </c>
      <c r="G290" s="41" t="s">
        <v>1346</v>
      </c>
      <c r="H290" s="41"/>
      <c r="I290" s="43"/>
      <c r="J290" s="41"/>
      <c r="K290" s="41"/>
      <c r="L290" s="41" t="s">
        <v>73</v>
      </c>
      <c r="M290" s="41">
        <v>50000</v>
      </c>
      <c r="N290" s="41" t="s">
        <v>891</v>
      </c>
      <c r="O290" s="41" t="s">
        <v>67</v>
      </c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  <c r="AC290" s="41"/>
      <c r="AD290" s="41"/>
      <c r="AE290" s="41"/>
      <c r="AF290" s="41"/>
      <c r="AG290" s="42"/>
      <c r="AH290" s="41"/>
      <c r="AI290" s="41"/>
      <c r="AJ290" s="41"/>
      <c r="AK290" s="41"/>
      <c r="AL290" s="41"/>
      <c r="AM290" s="41"/>
      <c r="AN290" s="41"/>
      <c r="AO290" s="41"/>
      <c r="AP290" s="41"/>
      <c r="AQ290" s="41"/>
      <c r="AR290" s="41"/>
      <c r="AS290" s="41"/>
      <c r="AT290" s="41"/>
      <c r="AU290" s="41"/>
      <c r="AV290" s="41"/>
      <c r="AW290" s="41"/>
      <c r="AX290" s="41"/>
      <c r="AY290" s="41"/>
      <c r="AZ290" s="41"/>
      <c r="BA290" s="41"/>
      <c r="BB290" s="41"/>
      <c r="BC290" s="41"/>
      <c r="BD290" s="42"/>
      <c r="BE290" s="41"/>
      <c r="BF290" s="41"/>
      <c r="BG290" s="41"/>
      <c r="BH290" s="42"/>
      <c r="BI290" s="41"/>
      <c r="BJ290" s="41"/>
    </row>
    <row r="291" spans="1:62" s="38" customFormat="1" x14ac:dyDescent="0.25">
      <c r="A291" s="41"/>
      <c r="B291" s="41" t="s">
        <v>892</v>
      </c>
      <c r="C291" s="41" t="s">
        <v>893</v>
      </c>
      <c r="D291" s="41"/>
      <c r="E291" s="41" t="s">
        <v>17</v>
      </c>
      <c r="F291" s="41">
        <v>2025</v>
      </c>
      <c r="G291" s="41" t="s">
        <v>1346</v>
      </c>
      <c r="H291" s="41"/>
      <c r="I291" s="43"/>
      <c r="J291" s="41"/>
      <c r="K291" s="41"/>
      <c r="L291" s="41" t="s">
        <v>73</v>
      </c>
      <c r="M291" s="41">
        <v>50974</v>
      </c>
      <c r="N291" s="41" t="s">
        <v>894</v>
      </c>
      <c r="O291" s="41" t="s">
        <v>272</v>
      </c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  <c r="AB291" s="41"/>
      <c r="AC291" s="41"/>
      <c r="AD291" s="41"/>
      <c r="AE291" s="41"/>
      <c r="AF291" s="41"/>
      <c r="AG291" s="42"/>
      <c r="AH291" s="41"/>
      <c r="AI291" s="41"/>
      <c r="AJ291" s="41"/>
      <c r="AK291" s="41"/>
      <c r="AL291" s="41"/>
      <c r="AM291" s="41"/>
      <c r="AN291" s="41"/>
      <c r="AO291" s="41"/>
      <c r="AP291" s="41"/>
      <c r="AQ291" s="41"/>
      <c r="AR291" s="41"/>
      <c r="AS291" s="41"/>
      <c r="AT291" s="41"/>
      <c r="AU291" s="41"/>
      <c r="AV291" s="41"/>
      <c r="AW291" s="41"/>
      <c r="AX291" s="41"/>
      <c r="AY291" s="41"/>
      <c r="AZ291" s="41"/>
      <c r="BA291" s="41"/>
      <c r="BB291" s="41"/>
      <c r="BC291" s="41"/>
      <c r="BD291" s="42"/>
      <c r="BE291" s="41"/>
      <c r="BF291" s="41"/>
      <c r="BG291" s="41"/>
      <c r="BH291" s="42"/>
      <c r="BI291" s="41"/>
      <c r="BJ291" s="41"/>
    </row>
    <row r="292" spans="1:62" s="38" customFormat="1" x14ac:dyDescent="0.25">
      <c r="A292" s="41"/>
      <c r="B292" s="41" t="s">
        <v>895</v>
      </c>
      <c r="C292" s="41" t="s">
        <v>896</v>
      </c>
      <c r="D292" s="41"/>
      <c r="E292" s="41" t="s">
        <v>17</v>
      </c>
      <c r="F292" s="41">
        <v>2025</v>
      </c>
      <c r="G292" s="41" t="s">
        <v>1346</v>
      </c>
      <c r="H292" s="41"/>
      <c r="I292" s="43"/>
      <c r="J292" s="41"/>
      <c r="K292" s="41"/>
      <c r="L292" s="41" t="s">
        <v>77</v>
      </c>
      <c r="M292" s="41">
        <v>100935</v>
      </c>
      <c r="N292" s="41" t="s">
        <v>897</v>
      </c>
      <c r="O292" s="41" t="s">
        <v>146</v>
      </c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  <c r="AB292" s="41"/>
      <c r="AC292" s="41"/>
      <c r="AD292" s="41"/>
      <c r="AE292" s="41"/>
      <c r="AF292" s="41"/>
      <c r="AG292" s="42"/>
      <c r="AH292" s="41"/>
      <c r="AI292" s="41"/>
      <c r="AJ292" s="41"/>
      <c r="AK292" s="41"/>
      <c r="AL292" s="41"/>
      <c r="AM292" s="41"/>
      <c r="AN292" s="41"/>
      <c r="AO292" s="41"/>
      <c r="AP292" s="41"/>
      <c r="AQ292" s="41"/>
      <c r="AR292" s="41"/>
      <c r="AS292" s="41"/>
      <c r="AT292" s="41"/>
      <c r="AU292" s="41"/>
      <c r="AV292" s="41"/>
      <c r="AW292" s="41"/>
      <c r="AX292" s="41"/>
      <c r="AY292" s="41"/>
      <c r="AZ292" s="41"/>
      <c r="BA292" s="41"/>
      <c r="BB292" s="41"/>
      <c r="BC292" s="41"/>
      <c r="BD292" s="42"/>
      <c r="BE292" s="41"/>
      <c r="BF292" s="41"/>
      <c r="BG292" s="41"/>
      <c r="BH292" s="42"/>
      <c r="BI292" s="41"/>
      <c r="BJ292" s="41"/>
    </row>
    <row r="293" spans="1:62" s="38" customFormat="1" x14ac:dyDescent="0.25">
      <c r="A293" s="41"/>
      <c r="B293" s="41" t="s">
        <v>898</v>
      </c>
      <c r="C293" s="41" t="s">
        <v>899</v>
      </c>
      <c r="D293" s="41"/>
      <c r="E293" s="41" t="s">
        <v>17</v>
      </c>
      <c r="F293" s="41">
        <v>2025</v>
      </c>
      <c r="G293" s="41" t="s">
        <v>1346</v>
      </c>
      <c r="H293" s="41"/>
      <c r="I293" s="43"/>
      <c r="J293" s="41"/>
      <c r="K293" s="41"/>
      <c r="L293" s="41" t="s">
        <v>73</v>
      </c>
      <c r="M293" s="41">
        <v>100978</v>
      </c>
      <c r="N293" s="41" t="s">
        <v>900</v>
      </c>
      <c r="O293" s="41" t="s">
        <v>258</v>
      </c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1"/>
      <c r="AC293" s="41"/>
      <c r="AD293" s="41"/>
      <c r="AE293" s="41"/>
      <c r="AF293" s="41"/>
      <c r="AG293" s="42"/>
      <c r="AH293" s="41"/>
      <c r="AI293" s="41"/>
      <c r="AJ293" s="41"/>
      <c r="AK293" s="41"/>
      <c r="AL293" s="41"/>
      <c r="AM293" s="41"/>
      <c r="AN293" s="41"/>
      <c r="AO293" s="41"/>
      <c r="AP293" s="41"/>
      <c r="AQ293" s="41"/>
      <c r="AR293" s="41"/>
      <c r="AS293" s="41"/>
      <c r="AT293" s="41"/>
      <c r="AU293" s="41"/>
      <c r="AV293" s="41"/>
      <c r="AW293" s="41"/>
      <c r="AX293" s="41"/>
      <c r="AY293" s="41"/>
      <c r="AZ293" s="41"/>
      <c r="BA293" s="41"/>
      <c r="BB293" s="41"/>
      <c r="BC293" s="41"/>
      <c r="BD293" s="42"/>
      <c r="BE293" s="41"/>
      <c r="BF293" s="41"/>
      <c r="BG293" s="41"/>
      <c r="BH293" s="42"/>
      <c r="BI293" s="41"/>
      <c r="BJ293" s="41"/>
    </row>
    <row r="294" spans="1:62" s="38" customFormat="1" x14ac:dyDescent="0.25">
      <c r="A294" s="41"/>
      <c r="B294" s="41" t="s">
        <v>901</v>
      </c>
      <c r="C294" s="41" t="s">
        <v>902</v>
      </c>
      <c r="D294" s="41"/>
      <c r="E294" s="41" t="s">
        <v>17</v>
      </c>
      <c r="F294" s="41">
        <v>2025</v>
      </c>
      <c r="G294" s="41" t="s">
        <v>1346</v>
      </c>
      <c r="H294" s="41"/>
      <c r="I294" s="43"/>
      <c r="J294" s="41"/>
      <c r="K294" s="41"/>
      <c r="L294" s="41" t="s">
        <v>77</v>
      </c>
      <c r="M294" s="41">
        <v>100910</v>
      </c>
      <c r="N294" s="41" t="s">
        <v>903</v>
      </c>
      <c r="O294" s="41" t="s">
        <v>67</v>
      </c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  <c r="AB294" s="41"/>
      <c r="AC294" s="41"/>
      <c r="AD294" s="41"/>
      <c r="AE294" s="41"/>
      <c r="AF294" s="41"/>
      <c r="AG294" s="42"/>
      <c r="AH294" s="41"/>
      <c r="AI294" s="41"/>
      <c r="AJ294" s="41"/>
      <c r="AK294" s="41"/>
      <c r="AL294" s="41"/>
      <c r="AM294" s="41"/>
      <c r="AN294" s="41"/>
      <c r="AO294" s="41"/>
      <c r="AP294" s="41"/>
      <c r="AQ294" s="41"/>
      <c r="AR294" s="41"/>
      <c r="AS294" s="41"/>
      <c r="AT294" s="41"/>
      <c r="AU294" s="41"/>
      <c r="AV294" s="41"/>
      <c r="AW294" s="41"/>
      <c r="AX294" s="41"/>
      <c r="AY294" s="41"/>
      <c r="AZ294" s="41"/>
      <c r="BA294" s="41"/>
      <c r="BB294" s="41"/>
      <c r="BC294" s="41"/>
      <c r="BD294" s="42"/>
      <c r="BE294" s="41"/>
      <c r="BF294" s="41"/>
      <c r="BG294" s="41"/>
      <c r="BH294" s="42"/>
      <c r="BI294" s="41"/>
      <c r="BJ294" s="41"/>
    </row>
    <row r="295" spans="1:62" s="38" customFormat="1" x14ac:dyDescent="0.25">
      <c r="A295" s="41"/>
      <c r="B295" s="41" t="s">
        <v>904</v>
      </c>
      <c r="C295" s="41" t="s">
        <v>905</v>
      </c>
      <c r="D295" s="41"/>
      <c r="E295" s="41" t="s">
        <v>17</v>
      </c>
      <c r="F295" s="41">
        <v>2025</v>
      </c>
      <c r="G295" s="41" t="s">
        <v>1346</v>
      </c>
      <c r="H295" s="41"/>
      <c r="I295" s="43"/>
      <c r="J295" s="41"/>
      <c r="K295" s="41"/>
      <c r="L295" s="41" t="s">
        <v>77</v>
      </c>
      <c r="M295" s="41">
        <v>100991</v>
      </c>
      <c r="N295" s="41" t="s">
        <v>906</v>
      </c>
      <c r="O295" s="41" t="s">
        <v>258</v>
      </c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1"/>
      <c r="AC295" s="41"/>
      <c r="AD295" s="41"/>
      <c r="AE295" s="41"/>
      <c r="AF295" s="41"/>
      <c r="AG295" s="42"/>
      <c r="AH295" s="41"/>
      <c r="AI295" s="41"/>
      <c r="AJ295" s="41"/>
      <c r="AK295" s="41"/>
      <c r="AL295" s="41"/>
      <c r="AM295" s="41"/>
      <c r="AN295" s="41"/>
      <c r="AO295" s="41"/>
      <c r="AP295" s="41"/>
      <c r="AQ295" s="41"/>
      <c r="AR295" s="41"/>
      <c r="AS295" s="41"/>
      <c r="AT295" s="41"/>
      <c r="AU295" s="41"/>
      <c r="AV295" s="41"/>
      <c r="AW295" s="41"/>
      <c r="AX295" s="41"/>
      <c r="AY295" s="41"/>
      <c r="AZ295" s="41"/>
      <c r="BA295" s="41"/>
      <c r="BB295" s="41"/>
      <c r="BC295" s="41"/>
      <c r="BD295" s="42"/>
      <c r="BE295" s="41"/>
      <c r="BF295" s="41"/>
      <c r="BG295" s="41"/>
      <c r="BH295" s="42"/>
      <c r="BI295" s="41"/>
      <c r="BJ295" s="41"/>
    </row>
    <row r="296" spans="1:62" s="38" customFormat="1" x14ac:dyDescent="0.25">
      <c r="A296" s="41"/>
      <c r="B296" s="41" t="s">
        <v>907</v>
      </c>
      <c r="C296" s="41" t="s">
        <v>908</v>
      </c>
      <c r="D296" s="41"/>
      <c r="E296" s="41" t="s">
        <v>17</v>
      </c>
      <c r="F296" s="41">
        <v>2025</v>
      </c>
      <c r="G296" s="41" t="s">
        <v>1346</v>
      </c>
      <c r="H296" s="41"/>
      <c r="I296" s="43"/>
      <c r="J296" s="41"/>
      <c r="K296" s="41"/>
      <c r="L296" s="41" t="s">
        <v>73</v>
      </c>
      <c r="M296" s="41">
        <v>100938</v>
      </c>
      <c r="N296" s="41" t="s">
        <v>909</v>
      </c>
      <c r="O296" s="41" t="s">
        <v>67</v>
      </c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  <c r="AB296" s="41"/>
      <c r="AC296" s="41"/>
      <c r="AD296" s="41"/>
      <c r="AE296" s="41"/>
      <c r="AF296" s="41"/>
      <c r="AG296" s="42"/>
      <c r="AH296" s="41"/>
      <c r="AI296" s="41"/>
      <c r="AJ296" s="41"/>
      <c r="AK296" s="41"/>
      <c r="AL296" s="41"/>
      <c r="AM296" s="41"/>
      <c r="AN296" s="41"/>
      <c r="AO296" s="41"/>
      <c r="AP296" s="41"/>
      <c r="AQ296" s="41"/>
      <c r="AR296" s="41"/>
      <c r="AS296" s="41"/>
      <c r="AT296" s="41"/>
      <c r="AU296" s="41"/>
      <c r="AV296" s="41"/>
      <c r="AW296" s="41"/>
      <c r="AX296" s="41"/>
      <c r="AY296" s="41"/>
      <c r="AZ296" s="41"/>
      <c r="BA296" s="41"/>
      <c r="BB296" s="41"/>
      <c r="BC296" s="41"/>
      <c r="BD296" s="42"/>
      <c r="BE296" s="41"/>
      <c r="BF296" s="41"/>
      <c r="BG296" s="41"/>
      <c r="BH296" s="42"/>
      <c r="BI296" s="41"/>
      <c r="BJ296" s="41"/>
    </row>
    <row r="297" spans="1:62" s="38" customFormat="1" x14ac:dyDescent="0.25">
      <c r="A297" s="41"/>
      <c r="B297" s="41" t="s">
        <v>910</v>
      </c>
      <c r="C297" s="41" t="s">
        <v>911</v>
      </c>
      <c r="D297" s="41"/>
      <c r="E297" s="41" t="s">
        <v>17</v>
      </c>
      <c r="F297" s="41">
        <v>2025</v>
      </c>
      <c r="G297" s="41" t="s">
        <v>1346</v>
      </c>
      <c r="H297" s="41"/>
      <c r="I297" s="43"/>
      <c r="J297" s="41"/>
      <c r="K297" s="41"/>
      <c r="L297" s="41" t="s">
        <v>77</v>
      </c>
      <c r="M297" s="41">
        <v>50926</v>
      </c>
      <c r="N297" s="41" t="s">
        <v>912</v>
      </c>
      <c r="O297" s="41" t="s">
        <v>379</v>
      </c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1"/>
      <c r="AC297" s="41"/>
      <c r="AD297" s="41"/>
      <c r="AE297" s="41"/>
      <c r="AF297" s="41"/>
      <c r="AG297" s="42"/>
      <c r="AH297" s="41"/>
      <c r="AI297" s="41"/>
      <c r="AJ297" s="41"/>
      <c r="AK297" s="41"/>
      <c r="AL297" s="41"/>
      <c r="AM297" s="41"/>
      <c r="AN297" s="41"/>
      <c r="AO297" s="41"/>
      <c r="AP297" s="41"/>
      <c r="AQ297" s="41"/>
      <c r="AR297" s="41"/>
      <c r="AS297" s="41"/>
      <c r="AT297" s="41"/>
      <c r="AU297" s="41"/>
      <c r="AV297" s="41"/>
      <c r="AW297" s="41"/>
      <c r="AX297" s="41"/>
      <c r="AY297" s="41"/>
      <c r="AZ297" s="41"/>
      <c r="BA297" s="41"/>
      <c r="BB297" s="41"/>
      <c r="BC297" s="41"/>
      <c r="BD297" s="42"/>
      <c r="BE297" s="41"/>
      <c r="BF297" s="41"/>
      <c r="BG297" s="41"/>
      <c r="BH297" s="42"/>
      <c r="BI297" s="41"/>
      <c r="BJ297" s="41"/>
    </row>
    <row r="298" spans="1:62" s="38" customFormat="1" x14ac:dyDescent="0.25">
      <c r="A298" s="41"/>
      <c r="B298" s="41" t="s">
        <v>913</v>
      </c>
      <c r="C298" s="41" t="s">
        <v>914</v>
      </c>
      <c r="D298" s="41"/>
      <c r="E298" s="41" t="s">
        <v>17</v>
      </c>
      <c r="F298" s="41">
        <v>2025</v>
      </c>
      <c r="G298" s="41" t="s">
        <v>1346</v>
      </c>
      <c r="H298" s="41"/>
      <c r="I298" s="43"/>
      <c r="J298" s="41"/>
      <c r="K298" s="41"/>
      <c r="L298" s="41" t="s">
        <v>915</v>
      </c>
      <c r="M298" s="41">
        <v>30946</v>
      </c>
      <c r="N298" s="41" t="s">
        <v>916</v>
      </c>
      <c r="O298" s="41" t="s">
        <v>67</v>
      </c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  <c r="AB298" s="41"/>
      <c r="AC298" s="41"/>
      <c r="AD298" s="41"/>
      <c r="AE298" s="41"/>
      <c r="AF298" s="41"/>
      <c r="AG298" s="42"/>
      <c r="AH298" s="41"/>
      <c r="AI298" s="41"/>
      <c r="AJ298" s="41"/>
      <c r="AK298" s="41"/>
      <c r="AL298" s="41"/>
      <c r="AM298" s="41"/>
      <c r="AN298" s="41"/>
      <c r="AO298" s="41"/>
      <c r="AP298" s="41"/>
      <c r="AQ298" s="41"/>
      <c r="AR298" s="41"/>
      <c r="AS298" s="41"/>
      <c r="AT298" s="41"/>
      <c r="AU298" s="41"/>
      <c r="AV298" s="41"/>
      <c r="AW298" s="41"/>
      <c r="AX298" s="41"/>
      <c r="AY298" s="41"/>
      <c r="AZ298" s="41"/>
      <c r="BA298" s="41"/>
      <c r="BB298" s="41"/>
      <c r="BC298" s="41"/>
      <c r="BD298" s="42"/>
      <c r="BE298" s="41"/>
      <c r="BF298" s="41"/>
      <c r="BG298" s="41"/>
      <c r="BH298" s="42"/>
      <c r="BI298" s="41"/>
      <c r="BJ298" s="41"/>
    </row>
    <row r="299" spans="1:62" s="38" customFormat="1" x14ac:dyDescent="0.25">
      <c r="A299" s="41"/>
      <c r="B299" s="41" t="s">
        <v>917</v>
      </c>
      <c r="C299" s="41" t="s">
        <v>918</v>
      </c>
      <c r="D299" s="41"/>
      <c r="E299" s="41" t="s">
        <v>17</v>
      </c>
      <c r="F299" s="41">
        <v>2025</v>
      </c>
      <c r="G299" s="41" t="s">
        <v>1346</v>
      </c>
      <c r="H299" s="41"/>
      <c r="I299" s="43"/>
      <c r="J299" s="41"/>
      <c r="K299" s="41"/>
      <c r="L299" s="41" t="s">
        <v>65</v>
      </c>
      <c r="M299" s="41">
        <v>25985</v>
      </c>
      <c r="N299" s="41" t="s">
        <v>919</v>
      </c>
      <c r="O299" s="41" t="s">
        <v>111</v>
      </c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  <c r="AB299" s="41"/>
      <c r="AC299" s="41"/>
      <c r="AD299" s="41"/>
      <c r="AE299" s="41"/>
      <c r="AF299" s="41"/>
      <c r="AG299" s="42"/>
      <c r="AH299" s="41"/>
      <c r="AI299" s="41"/>
      <c r="AJ299" s="41"/>
      <c r="AK299" s="41"/>
      <c r="AL299" s="41"/>
      <c r="AM299" s="41"/>
      <c r="AN299" s="41"/>
      <c r="AO299" s="41"/>
      <c r="AP299" s="41"/>
      <c r="AQ299" s="41"/>
      <c r="AR299" s="41"/>
      <c r="AS299" s="41"/>
      <c r="AT299" s="41"/>
      <c r="AU299" s="41"/>
      <c r="AV299" s="41"/>
      <c r="AW299" s="41"/>
      <c r="AX299" s="41"/>
      <c r="AY299" s="41"/>
      <c r="AZ299" s="41"/>
      <c r="BA299" s="41"/>
      <c r="BB299" s="41"/>
      <c r="BC299" s="41"/>
      <c r="BD299" s="42"/>
      <c r="BE299" s="41"/>
      <c r="BF299" s="41"/>
      <c r="BG299" s="41"/>
      <c r="BH299" s="42"/>
      <c r="BI299" s="41"/>
      <c r="BJ299" s="41"/>
    </row>
    <row r="300" spans="1:62" s="38" customFormat="1" x14ac:dyDescent="0.25">
      <c r="A300" s="41"/>
      <c r="B300" s="41" t="s">
        <v>920</v>
      </c>
      <c r="C300" s="41" t="s">
        <v>921</v>
      </c>
      <c r="D300" s="41"/>
      <c r="E300" s="41" t="s">
        <v>17</v>
      </c>
      <c r="F300" s="41">
        <v>2025</v>
      </c>
      <c r="G300" s="41" t="s">
        <v>1346</v>
      </c>
      <c r="H300" s="41"/>
      <c r="I300" s="43"/>
      <c r="J300" s="41"/>
      <c r="K300" s="41"/>
      <c r="L300" s="41" t="s">
        <v>77</v>
      </c>
      <c r="M300" s="41">
        <v>100964</v>
      </c>
      <c r="N300" s="41" t="s">
        <v>922</v>
      </c>
      <c r="O300" s="41" t="s">
        <v>258</v>
      </c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  <c r="AB300" s="41"/>
      <c r="AC300" s="41"/>
      <c r="AD300" s="41"/>
      <c r="AE300" s="41"/>
      <c r="AF300" s="41"/>
      <c r="AG300" s="42"/>
      <c r="AH300" s="41"/>
      <c r="AI300" s="41"/>
      <c r="AJ300" s="41"/>
      <c r="AK300" s="41"/>
      <c r="AL300" s="41"/>
      <c r="AM300" s="41"/>
      <c r="AN300" s="41"/>
      <c r="AO300" s="41"/>
      <c r="AP300" s="41"/>
      <c r="AQ300" s="41"/>
      <c r="AR300" s="41"/>
      <c r="AS300" s="41"/>
      <c r="AT300" s="41"/>
      <c r="AU300" s="41"/>
      <c r="AV300" s="41"/>
      <c r="AW300" s="41"/>
      <c r="AX300" s="41"/>
      <c r="AY300" s="41"/>
      <c r="AZ300" s="41"/>
      <c r="BA300" s="41"/>
      <c r="BB300" s="41"/>
      <c r="BC300" s="41"/>
      <c r="BD300" s="42"/>
      <c r="BE300" s="41"/>
      <c r="BF300" s="41"/>
      <c r="BG300" s="41"/>
      <c r="BH300" s="42"/>
      <c r="BI300" s="41"/>
      <c r="BJ300" s="41"/>
    </row>
    <row r="301" spans="1:62" s="38" customFormat="1" x14ac:dyDescent="0.25">
      <c r="A301" s="41"/>
      <c r="B301" s="41" t="s">
        <v>90</v>
      </c>
      <c r="C301" s="41" t="s">
        <v>923</v>
      </c>
      <c r="D301" s="41"/>
      <c r="E301" s="41" t="s">
        <v>17</v>
      </c>
      <c r="F301" s="41">
        <v>2025</v>
      </c>
      <c r="G301" s="41" t="s">
        <v>1346</v>
      </c>
      <c r="H301" s="41"/>
      <c r="I301" s="43"/>
      <c r="J301" s="41"/>
      <c r="K301" s="41"/>
      <c r="L301" s="41" t="s">
        <v>73</v>
      </c>
      <c r="M301" s="41">
        <v>100931</v>
      </c>
      <c r="N301" s="41" t="s">
        <v>924</v>
      </c>
      <c r="O301" s="41" t="s">
        <v>272</v>
      </c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  <c r="AB301" s="41"/>
      <c r="AC301" s="41"/>
      <c r="AD301" s="41"/>
      <c r="AE301" s="41"/>
      <c r="AF301" s="41"/>
      <c r="AG301" s="42"/>
      <c r="AH301" s="41"/>
      <c r="AI301" s="41"/>
      <c r="AJ301" s="41"/>
      <c r="AK301" s="41"/>
      <c r="AL301" s="41"/>
      <c r="AM301" s="41"/>
      <c r="AN301" s="41"/>
      <c r="AO301" s="41"/>
      <c r="AP301" s="41"/>
      <c r="AQ301" s="41"/>
      <c r="AR301" s="41"/>
      <c r="AS301" s="41"/>
      <c r="AT301" s="41"/>
      <c r="AU301" s="41"/>
      <c r="AV301" s="41"/>
      <c r="AW301" s="41"/>
      <c r="AX301" s="41"/>
      <c r="AY301" s="41"/>
      <c r="AZ301" s="41"/>
      <c r="BA301" s="41"/>
      <c r="BB301" s="41"/>
      <c r="BC301" s="41"/>
      <c r="BD301" s="42"/>
      <c r="BE301" s="41"/>
      <c r="BF301" s="41"/>
      <c r="BG301" s="41"/>
      <c r="BH301" s="42"/>
      <c r="BI301" s="41"/>
      <c r="BJ301" s="41"/>
    </row>
    <row r="302" spans="1:62" s="38" customFormat="1" x14ac:dyDescent="0.25">
      <c r="A302" s="41"/>
      <c r="B302" s="41" t="s">
        <v>925</v>
      </c>
      <c r="C302" s="41" t="s">
        <v>926</v>
      </c>
      <c r="D302" s="41"/>
      <c r="E302" s="41" t="s">
        <v>17</v>
      </c>
      <c r="F302" s="41">
        <v>2025</v>
      </c>
      <c r="G302" s="41" t="s">
        <v>1346</v>
      </c>
      <c r="H302" s="41"/>
      <c r="I302" s="43"/>
      <c r="J302" s="41"/>
      <c r="K302" s="41"/>
      <c r="L302" s="41" t="s">
        <v>73</v>
      </c>
      <c r="M302" s="41">
        <v>100910</v>
      </c>
      <c r="N302" s="41" t="s">
        <v>927</v>
      </c>
      <c r="O302" s="41" t="s">
        <v>146</v>
      </c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  <c r="AB302" s="41"/>
      <c r="AC302" s="41"/>
      <c r="AD302" s="41"/>
      <c r="AE302" s="41"/>
      <c r="AF302" s="41"/>
      <c r="AG302" s="42"/>
      <c r="AH302" s="41"/>
      <c r="AI302" s="41"/>
      <c r="AJ302" s="41"/>
      <c r="AK302" s="41"/>
      <c r="AL302" s="41"/>
      <c r="AM302" s="41"/>
      <c r="AN302" s="41"/>
      <c r="AO302" s="41"/>
      <c r="AP302" s="41"/>
      <c r="AQ302" s="41"/>
      <c r="AR302" s="41"/>
      <c r="AS302" s="41"/>
      <c r="AT302" s="41"/>
      <c r="AU302" s="41"/>
      <c r="AV302" s="41"/>
      <c r="AW302" s="41"/>
      <c r="AX302" s="41"/>
      <c r="AY302" s="41"/>
      <c r="AZ302" s="41"/>
      <c r="BA302" s="41"/>
      <c r="BB302" s="41"/>
      <c r="BC302" s="41"/>
      <c r="BD302" s="42"/>
      <c r="BE302" s="41"/>
      <c r="BF302" s="41"/>
      <c r="BG302" s="41"/>
      <c r="BH302" s="42"/>
      <c r="BI302" s="41"/>
      <c r="BJ302" s="41"/>
    </row>
    <row r="303" spans="1:62" s="38" customFormat="1" x14ac:dyDescent="0.25">
      <c r="A303" s="41"/>
      <c r="B303" s="41" t="s">
        <v>558</v>
      </c>
      <c r="C303" s="41" t="s">
        <v>928</v>
      </c>
      <c r="D303" s="41"/>
      <c r="E303" s="41" t="s">
        <v>17</v>
      </c>
      <c r="F303" s="41">
        <v>2025</v>
      </c>
      <c r="G303" s="41" t="s">
        <v>1346</v>
      </c>
      <c r="H303" s="41"/>
      <c r="I303" s="43"/>
      <c r="J303" s="41"/>
      <c r="K303" s="41"/>
      <c r="L303" s="41" t="s">
        <v>73</v>
      </c>
      <c r="M303" s="41">
        <v>50970</v>
      </c>
      <c r="N303" s="41" t="s">
        <v>929</v>
      </c>
      <c r="O303" s="41" t="s">
        <v>266</v>
      </c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  <c r="AB303" s="41"/>
      <c r="AC303" s="41"/>
      <c r="AD303" s="41"/>
      <c r="AE303" s="41"/>
      <c r="AF303" s="41"/>
      <c r="AG303" s="42"/>
      <c r="AH303" s="41"/>
      <c r="AI303" s="41"/>
      <c r="AJ303" s="41"/>
      <c r="AK303" s="41"/>
      <c r="AL303" s="41"/>
      <c r="AM303" s="41"/>
      <c r="AN303" s="41"/>
      <c r="AO303" s="41"/>
      <c r="AP303" s="41"/>
      <c r="AQ303" s="41"/>
      <c r="AR303" s="41"/>
      <c r="AS303" s="41"/>
      <c r="AT303" s="41"/>
      <c r="AU303" s="41"/>
      <c r="AV303" s="41"/>
      <c r="AW303" s="41"/>
      <c r="AX303" s="41"/>
      <c r="AY303" s="41"/>
      <c r="AZ303" s="41"/>
      <c r="BA303" s="41"/>
      <c r="BB303" s="41"/>
      <c r="BC303" s="41"/>
      <c r="BD303" s="42"/>
      <c r="BE303" s="41"/>
      <c r="BF303" s="41"/>
      <c r="BG303" s="41"/>
      <c r="BH303" s="42"/>
      <c r="BI303" s="41"/>
      <c r="BJ303" s="41"/>
    </row>
    <row r="304" spans="1:62" s="38" customFormat="1" x14ac:dyDescent="0.25">
      <c r="A304" s="41"/>
      <c r="B304" s="41" t="s">
        <v>546</v>
      </c>
      <c r="C304" s="41" t="s">
        <v>930</v>
      </c>
      <c r="D304" s="41"/>
      <c r="E304" s="41" t="s">
        <v>17</v>
      </c>
      <c r="F304" s="41">
        <v>2025</v>
      </c>
      <c r="G304" s="41" t="s">
        <v>1346</v>
      </c>
      <c r="H304" s="41"/>
      <c r="I304" s="43"/>
      <c r="J304" s="41"/>
      <c r="K304" s="41"/>
      <c r="L304" s="41" t="s">
        <v>73</v>
      </c>
      <c r="M304" s="41">
        <v>50909</v>
      </c>
      <c r="N304" s="41" t="s">
        <v>931</v>
      </c>
      <c r="O304" s="41" t="s">
        <v>111</v>
      </c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  <c r="AC304" s="41"/>
      <c r="AD304" s="41"/>
      <c r="AE304" s="41"/>
      <c r="AF304" s="41"/>
      <c r="AG304" s="42"/>
      <c r="AH304" s="41"/>
      <c r="AI304" s="41"/>
      <c r="AJ304" s="41"/>
      <c r="AK304" s="41"/>
      <c r="AL304" s="41"/>
      <c r="AM304" s="41"/>
      <c r="AN304" s="41"/>
      <c r="AO304" s="41"/>
      <c r="AP304" s="41"/>
      <c r="AQ304" s="41"/>
      <c r="AR304" s="41"/>
      <c r="AS304" s="41"/>
      <c r="AT304" s="41"/>
      <c r="AU304" s="41"/>
      <c r="AV304" s="41"/>
      <c r="AW304" s="41"/>
      <c r="AX304" s="41"/>
      <c r="AY304" s="41"/>
      <c r="AZ304" s="41"/>
      <c r="BA304" s="41"/>
      <c r="BB304" s="41"/>
      <c r="BC304" s="41"/>
      <c r="BD304" s="42"/>
      <c r="BE304" s="41"/>
      <c r="BF304" s="41"/>
      <c r="BG304" s="41"/>
      <c r="BH304" s="42"/>
      <c r="BI304" s="41"/>
      <c r="BJ304" s="41"/>
    </row>
    <row r="305" spans="1:62" s="38" customFormat="1" x14ac:dyDescent="0.25">
      <c r="A305" s="41"/>
      <c r="B305" s="41" t="s">
        <v>932</v>
      </c>
      <c r="C305" s="41" t="s">
        <v>933</v>
      </c>
      <c r="D305" s="41"/>
      <c r="E305" s="41" t="s">
        <v>17</v>
      </c>
      <c r="F305" s="41">
        <v>2025</v>
      </c>
      <c r="G305" s="41" t="s">
        <v>1346</v>
      </c>
      <c r="H305" s="41"/>
      <c r="I305" s="43"/>
      <c r="J305" s="41"/>
      <c r="K305" s="41"/>
      <c r="L305" s="41" t="s">
        <v>77</v>
      </c>
      <c r="M305" s="41">
        <v>50968</v>
      </c>
      <c r="N305" s="41" t="s">
        <v>934</v>
      </c>
      <c r="O305" s="41" t="s">
        <v>67</v>
      </c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  <c r="AB305" s="41"/>
      <c r="AC305" s="41"/>
      <c r="AD305" s="41"/>
      <c r="AE305" s="41"/>
      <c r="AF305" s="41"/>
      <c r="AG305" s="42"/>
      <c r="AH305" s="41"/>
      <c r="AI305" s="41"/>
      <c r="AJ305" s="41"/>
      <c r="AK305" s="41"/>
      <c r="AL305" s="41"/>
      <c r="AM305" s="41"/>
      <c r="AN305" s="41"/>
      <c r="AO305" s="41"/>
      <c r="AP305" s="41"/>
      <c r="AQ305" s="41"/>
      <c r="AR305" s="41"/>
      <c r="AS305" s="41"/>
      <c r="AT305" s="41"/>
      <c r="AU305" s="41"/>
      <c r="AV305" s="41"/>
      <c r="AW305" s="41"/>
      <c r="AX305" s="41"/>
      <c r="AY305" s="41"/>
      <c r="AZ305" s="41"/>
      <c r="BA305" s="41"/>
      <c r="BB305" s="41"/>
      <c r="BC305" s="41"/>
      <c r="BD305" s="42"/>
      <c r="BE305" s="41"/>
      <c r="BF305" s="41"/>
      <c r="BG305" s="41"/>
      <c r="BH305" s="42"/>
      <c r="BI305" s="41"/>
      <c r="BJ305" s="41"/>
    </row>
    <row r="306" spans="1:62" s="38" customFormat="1" x14ac:dyDescent="0.25">
      <c r="A306" s="41"/>
      <c r="B306" s="41" t="s">
        <v>150</v>
      </c>
      <c r="C306" s="41" t="s">
        <v>935</v>
      </c>
      <c r="D306" s="41"/>
      <c r="E306" s="41" t="s">
        <v>17</v>
      </c>
      <c r="F306" s="41">
        <v>2025</v>
      </c>
      <c r="G306" s="41" t="s">
        <v>1346</v>
      </c>
      <c r="H306" s="41"/>
      <c r="I306" s="43"/>
      <c r="J306" s="41"/>
      <c r="K306" s="41"/>
      <c r="L306" s="41" t="s">
        <v>77</v>
      </c>
      <c r="M306" s="41">
        <v>50927</v>
      </c>
      <c r="N306" s="41" t="s">
        <v>936</v>
      </c>
      <c r="O306" s="41" t="s">
        <v>146</v>
      </c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  <c r="AB306" s="41"/>
      <c r="AC306" s="41"/>
      <c r="AD306" s="41"/>
      <c r="AE306" s="41"/>
      <c r="AF306" s="41"/>
      <c r="AG306" s="42"/>
      <c r="AH306" s="41"/>
      <c r="AI306" s="41"/>
      <c r="AJ306" s="41"/>
      <c r="AK306" s="41"/>
      <c r="AL306" s="41"/>
      <c r="AM306" s="41"/>
      <c r="AN306" s="41"/>
      <c r="AO306" s="41"/>
      <c r="AP306" s="41"/>
      <c r="AQ306" s="41"/>
      <c r="AR306" s="41"/>
      <c r="AS306" s="41"/>
      <c r="AT306" s="41"/>
      <c r="AU306" s="41"/>
      <c r="AV306" s="41"/>
      <c r="AW306" s="41"/>
      <c r="AX306" s="41"/>
      <c r="AY306" s="41"/>
      <c r="AZ306" s="41"/>
      <c r="BA306" s="41"/>
      <c r="BB306" s="41"/>
      <c r="BC306" s="41"/>
      <c r="BD306" s="42"/>
      <c r="BE306" s="41"/>
      <c r="BF306" s="41"/>
      <c r="BG306" s="41"/>
      <c r="BH306" s="42"/>
      <c r="BI306" s="41"/>
      <c r="BJ306" s="41"/>
    </row>
    <row r="307" spans="1:62" s="38" customFormat="1" x14ac:dyDescent="0.25">
      <c r="A307" s="41"/>
      <c r="B307" s="41" t="s">
        <v>937</v>
      </c>
      <c r="C307" s="41" t="s">
        <v>938</v>
      </c>
      <c r="D307" s="41"/>
      <c r="E307" s="41" t="s">
        <v>17</v>
      </c>
      <c r="F307" s="41">
        <v>2025</v>
      </c>
      <c r="G307" s="41" t="s">
        <v>1346</v>
      </c>
      <c r="H307" s="41"/>
      <c r="I307" s="43"/>
      <c r="J307" s="41"/>
      <c r="K307" s="41"/>
      <c r="L307" s="41" t="s">
        <v>73</v>
      </c>
      <c r="M307" s="41">
        <v>50000</v>
      </c>
      <c r="N307" s="41" t="s">
        <v>939</v>
      </c>
      <c r="O307" s="41" t="s">
        <v>67</v>
      </c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  <c r="AB307" s="41"/>
      <c r="AC307" s="41"/>
      <c r="AD307" s="41"/>
      <c r="AE307" s="41"/>
      <c r="AF307" s="41"/>
      <c r="AG307" s="42"/>
      <c r="AH307" s="41"/>
      <c r="AI307" s="41"/>
      <c r="AJ307" s="41"/>
      <c r="AK307" s="41"/>
      <c r="AL307" s="41"/>
      <c r="AM307" s="41"/>
      <c r="AN307" s="41"/>
      <c r="AO307" s="41"/>
      <c r="AP307" s="41"/>
      <c r="AQ307" s="41"/>
      <c r="AR307" s="41"/>
      <c r="AS307" s="41"/>
      <c r="AT307" s="41"/>
      <c r="AU307" s="41"/>
      <c r="AV307" s="41"/>
      <c r="AW307" s="41"/>
      <c r="AX307" s="41"/>
      <c r="AY307" s="41"/>
      <c r="AZ307" s="41"/>
      <c r="BA307" s="41"/>
      <c r="BB307" s="41"/>
      <c r="BC307" s="41"/>
      <c r="BD307" s="42"/>
      <c r="BE307" s="41"/>
      <c r="BF307" s="41"/>
      <c r="BG307" s="41"/>
      <c r="BH307" s="42"/>
      <c r="BI307" s="41"/>
      <c r="BJ307" s="41"/>
    </row>
    <row r="308" spans="1:62" s="38" customFormat="1" x14ac:dyDescent="0.25">
      <c r="A308" s="41"/>
      <c r="B308" s="41" t="s">
        <v>940</v>
      </c>
      <c r="C308" s="41" t="s">
        <v>941</v>
      </c>
      <c r="D308" s="41"/>
      <c r="E308" s="41" t="s">
        <v>17</v>
      </c>
      <c r="F308" s="41">
        <v>2025</v>
      </c>
      <c r="G308" s="41" t="s">
        <v>1346</v>
      </c>
      <c r="H308" s="41"/>
      <c r="I308" s="43"/>
      <c r="J308" s="41"/>
      <c r="K308" s="41"/>
      <c r="L308" s="41" t="s">
        <v>268</v>
      </c>
      <c r="M308" s="41">
        <v>100965</v>
      </c>
      <c r="N308" s="41" t="s">
        <v>942</v>
      </c>
      <c r="O308" s="41" t="s">
        <v>258</v>
      </c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  <c r="AB308" s="41"/>
      <c r="AC308" s="41"/>
      <c r="AD308" s="41"/>
      <c r="AE308" s="41"/>
      <c r="AF308" s="41"/>
      <c r="AG308" s="42"/>
      <c r="AH308" s="41"/>
      <c r="AI308" s="41"/>
      <c r="AJ308" s="41"/>
      <c r="AK308" s="41"/>
      <c r="AL308" s="41"/>
      <c r="AM308" s="41"/>
      <c r="AN308" s="41"/>
      <c r="AO308" s="41"/>
      <c r="AP308" s="41"/>
      <c r="AQ308" s="41"/>
      <c r="AR308" s="41"/>
      <c r="AS308" s="41"/>
      <c r="AT308" s="41"/>
      <c r="AU308" s="41"/>
      <c r="AV308" s="41"/>
      <c r="AW308" s="41"/>
      <c r="AX308" s="41"/>
      <c r="AY308" s="41"/>
      <c r="AZ308" s="41"/>
      <c r="BA308" s="41"/>
      <c r="BB308" s="41"/>
      <c r="BC308" s="41"/>
      <c r="BD308" s="42"/>
      <c r="BE308" s="41"/>
      <c r="BF308" s="41"/>
      <c r="BG308" s="41"/>
      <c r="BH308" s="42"/>
      <c r="BI308" s="41"/>
      <c r="BJ308" s="41"/>
    </row>
    <row r="309" spans="1:62" s="38" customFormat="1" x14ac:dyDescent="0.25">
      <c r="A309" s="41"/>
      <c r="B309" s="41" t="s">
        <v>943</v>
      </c>
      <c r="C309" s="41" t="s">
        <v>944</v>
      </c>
      <c r="D309" s="41"/>
      <c r="E309" s="41" t="s">
        <v>17</v>
      </c>
      <c r="F309" s="41">
        <v>2025</v>
      </c>
      <c r="G309" s="41" t="s">
        <v>1346</v>
      </c>
      <c r="H309" s="41"/>
      <c r="I309" s="43"/>
      <c r="J309" s="41"/>
      <c r="K309" s="41"/>
      <c r="L309" s="41" t="s">
        <v>73</v>
      </c>
      <c r="M309" s="41">
        <v>250000</v>
      </c>
      <c r="N309" s="41" t="s">
        <v>945</v>
      </c>
      <c r="O309" s="41" t="s">
        <v>67</v>
      </c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  <c r="AB309" s="41"/>
      <c r="AC309" s="41"/>
      <c r="AD309" s="41"/>
      <c r="AE309" s="41"/>
      <c r="AF309" s="41"/>
      <c r="AG309" s="42"/>
      <c r="AH309" s="41"/>
      <c r="AI309" s="41"/>
      <c r="AJ309" s="41"/>
      <c r="AK309" s="41"/>
      <c r="AL309" s="41"/>
      <c r="AM309" s="41"/>
      <c r="AN309" s="41"/>
      <c r="AO309" s="41"/>
      <c r="AP309" s="41"/>
      <c r="AQ309" s="41"/>
      <c r="AR309" s="41"/>
      <c r="AS309" s="41"/>
      <c r="AT309" s="41"/>
      <c r="AU309" s="41"/>
      <c r="AV309" s="41"/>
      <c r="AW309" s="41"/>
      <c r="AX309" s="41"/>
      <c r="AY309" s="41"/>
      <c r="AZ309" s="41"/>
      <c r="BA309" s="41"/>
      <c r="BB309" s="41"/>
      <c r="BC309" s="41"/>
      <c r="BD309" s="42"/>
      <c r="BE309" s="41"/>
      <c r="BF309" s="41"/>
      <c r="BG309" s="41"/>
      <c r="BH309" s="42"/>
      <c r="BI309" s="41"/>
      <c r="BJ309" s="41"/>
    </row>
    <row r="310" spans="1:62" s="38" customFormat="1" x14ac:dyDescent="0.25">
      <c r="A310" s="41"/>
      <c r="B310" s="41" t="s">
        <v>946</v>
      </c>
      <c r="C310" s="41" t="s">
        <v>947</v>
      </c>
      <c r="D310" s="41"/>
      <c r="E310" s="41" t="s">
        <v>17</v>
      </c>
      <c r="F310" s="41">
        <v>2025</v>
      </c>
      <c r="G310" s="41" t="s">
        <v>1346</v>
      </c>
      <c r="H310" s="41"/>
      <c r="I310" s="43"/>
      <c r="J310" s="41"/>
      <c r="K310" s="41"/>
      <c r="L310" s="41" t="s">
        <v>73</v>
      </c>
      <c r="M310" s="41">
        <v>100911</v>
      </c>
      <c r="N310" s="41" t="s">
        <v>948</v>
      </c>
      <c r="O310" s="41" t="s">
        <v>272</v>
      </c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  <c r="AB310" s="41"/>
      <c r="AC310" s="41"/>
      <c r="AD310" s="41"/>
      <c r="AE310" s="41"/>
      <c r="AF310" s="41"/>
      <c r="AG310" s="42"/>
      <c r="AH310" s="41"/>
      <c r="AI310" s="41"/>
      <c r="AJ310" s="41"/>
      <c r="AK310" s="41"/>
      <c r="AL310" s="41"/>
      <c r="AM310" s="41"/>
      <c r="AN310" s="41"/>
      <c r="AO310" s="41"/>
      <c r="AP310" s="41"/>
      <c r="AQ310" s="41"/>
      <c r="AR310" s="41"/>
      <c r="AS310" s="41"/>
      <c r="AT310" s="41"/>
      <c r="AU310" s="41"/>
      <c r="AV310" s="41"/>
      <c r="AW310" s="41"/>
      <c r="AX310" s="41"/>
      <c r="AY310" s="41"/>
      <c r="AZ310" s="41"/>
      <c r="BA310" s="41"/>
      <c r="BB310" s="41"/>
      <c r="BC310" s="41"/>
      <c r="BD310" s="42"/>
      <c r="BE310" s="41"/>
      <c r="BF310" s="41"/>
      <c r="BG310" s="41"/>
      <c r="BH310" s="42"/>
      <c r="BI310" s="41"/>
      <c r="BJ310" s="41"/>
    </row>
    <row r="311" spans="1:62" s="38" customFormat="1" x14ac:dyDescent="0.25">
      <c r="A311" s="41"/>
      <c r="B311" s="41" t="s">
        <v>949</v>
      </c>
      <c r="C311" s="41" t="s">
        <v>950</v>
      </c>
      <c r="D311" s="41"/>
      <c r="E311" s="41" t="s">
        <v>17</v>
      </c>
      <c r="F311" s="41">
        <v>2025</v>
      </c>
      <c r="G311" s="41" t="s">
        <v>1346</v>
      </c>
      <c r="H311" s="41"/>
      <c r="I311" s="43"/>
      <c r="J311" s="41"/>
      <c r="K311" s="41"/>
      <c r="L311" s="41" t="s">
        <v>77</v>
      </c>
      <c r="M311" s="41">
        <v>50994</v>
      </c>
      <c r="N311" s="41" t="s">
        <v>951</v>
      </c>
      <c r="O311" s="41" t="s">
        <v>235</v>
      </c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  <c r="AC311" s="41"/>
      <c r="AD311" s="41"/>
      <c r="AE311" s="41"/>
      <c r="AF311" s="41"/>
      <c r="AG311" s="42"/>
      <c r="AH311" s="41"/>
      <c r="AI311" s="41"/>
      <c r="AJ311" s="41"/>
      <c r="AK311" s="41"/>
      <c r="AL311" s="41"/>
      <c r="AM311" s="41"/>
      <c r="AN311" s="41"/>
      <c r="AO311" s="41"/>
      <c r="AP311" s="41"/>
      <c r="AQ311" s="41"/>
      <c r="AR311" s="41"/>
      <c r="AS311" s="41"/>
      <c r="AT311" s="41"/>
      <c r="AU311" s="41"/>
      <c r="AV311" s="41"/>
      <c r="AW311" s="41"/>
      <c r="AX311" s="41"/>
      <c r="AY311" s="41"/>
      <c r="AZ311" s="41"/>
      <c r="BA311" s="41"/>
      <c r="BB311" s="41"/>
      <c r="BC311" s="41"/>
      <c r="BD311" s="42"/>
      <c r="BE311" s="41"/>
      <c r="BF311" s="41"/>
      <c r="BG311" s="41"/>
      <c r="BH311" s="42"/>
      <c r="BI311" s="41"/>
      <c r="BJ311" s="41"/>
    </row>
    <row r="312" spans="1:62" s="38" customFormat="1" x14ac:dyDescent="0.25">
      <c r="A312" s="41"/>
      <c r="B312" s="41" t="s">
        <v>952</v>
      </c>
      <c r="C312" s="41" t="s">
        <v>953</v>
      </c>
      <c r="D312" s="41"/>
      <c r="E312" s="41" t="s">
        <v>17</v>
      </c>
      <c r="F312" s="41">
        <v>2025</v>
      </c>
      <c r="G312" s="41" t="s">
        <v>1346</v>
      </c>
      <c r="H312" s="41"/>
      <c r="I312" s="43"/>
      <c r="J312" s="41"/>
      <c r="K312" s="41"/>
      <c r="L312" s="41" t="s">
        <v>73</v>
      </c>
      <c r="M312" s="41">
        <v>100998</v>
      </c>
      <c r="N312" s="41" t="s">
        <v>954</v>
      </c>
      <c r="O312" s="41" t="s">
        <v>258</v>
      </c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  <c r="AB312" s="41"/>
      <c r="AC312" s="41"/>
      <c r="AD312" s="41"/>
      <c r="AE312" s="41"/>
      <c r="AF312" s="41"/>
      <c r="AG312" s="42"/>
      <c r="AH312" s="41"/>
      <c r="AI312" s="41"/>
      <c r="AJ312" s="41"/>
      <c r="AK312" s="41"/>
      <c r="AL312" s="41"/>
      <c r="AM312" s="41"/>
      <c r="AN312" s="41"/>
      <c r="AO312" s="41"/>
      <c r="AP312" s="41"/>
      <c r="AQ312" s="41"/>
      <c r="AR312" s="41"/>
      <c r="AS312" s="41"/>
      <c r="AT312" s="41"/>
      <c r="AU312" s="41"/>
      <c r="AV312" s="41"/>
      <c r="AW312" s="41"/>
      <c r="AX312" s="41"/>
      <c r="AY312" s="41"/>
      <c r="AZ312" s="41"/>
      <c r="BA312" s="41"/>
      <c r="BB312" s="41"/>
      <c r="BC312" s="41"/>
      <c r="BD312" s="42"/>
      <c r="BE312" s="41"/>
      <c r="BF312" s="41"/>
      <c r="BG312" s="41"/>
      <c r="BH312" s="42"/>
      <c r="BI312" s="41"/>
      <c r="BJ312" s="41"/>
    </row>
    <row r="313" spans="1:62" s="38" customFormat="1" x14ac:dyDescent="0.25">
      <c r="A313" s="41"/>
      <c r="B313" s="41" t="s">
        <v>955</v>
      </c>
      <c r="C313" s="41" t="s">
        <v>956</v>
      </c>
      <c r="D313" s="41"/>
      <c r="E313" s="41" t="s">
        <v>17</v>
      </c>
      <c r="F313" s="41">
        <v>2025</v>
      </c>
      <c r="G313" s="41" t="s">
        <v>1346</v>
      </c>
      <c r="H313" s="41"/>
      <c r="I313" s="43"/>
      <c r="J313" s="41"/>
      <c r="K313" s="41"/>
      <c r="L313" s="41" t="s">
        <v>73</v>
      </c>
      <c r="M313" s="41">
        <v>50997</v>
      </c>
      <c r="N313" s="41" t="s">
        <v>957</v>
      </c>
      <c r="O313" s="41" t="s">
        <v>386</v>
      </c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  <c r="AB313" s="41"/>
      <c r="AC313" s="41"/>
      <c r="AD313" s="41"/>
      <c r="AE313" s="41"/>
      <c r="AF313" s="41"/>
      <c r="AG313" s="42"/>
      <c r="AH313" s="41"/>
      <c r="AI313" s="41"/>
      <c r="AJ313" s="41"/>
      <c r="AK313" s="41"/>
      <c r="AL313" s="41"/>
      <c r="AM313" s="41"/>
      <c r="AN313" s="41"/>
      <c r="AO313" s="41"/>
      <c r="AP313" s="41"/>
      <c r="AQ313" s="41"/>
      <c r="AR313" s="41"/>
      <c r="AS313" s="41"/>
      <c r="AT313" s="41"/>
      <c r="AU313" s="41"/>
      <c r="AV313" s="41"/>
      <c r="AW313" s="41"/>
      <c r="AX313" s="41"/>
      <c r="AY313" s="41"/>
      <c r="AZ313" s="41"/>
      <c r="BA313" s="41"/>
      <c r="BB313" s="41"/>
      <c r="BC313" s="41"/>
      <c r="BD313" s="42"/>
      <c r="BE313" s="41"/>
      <c r="BF313" s="41"/>
      <c r="BG313" s="41"/>
      <c r="BH313" s="42"/>
      <c r="BI313" s="41"/>
      <c r="BJ313" s="41"/>
    </row>
    <row r="314" spans="1:62" s="38" customFormat="1" x14ac:dyDescent="0.25">
      <c r="A314" s="41"/>
      <c r="B314" s="41" t="s">
        <v>958</v>
      </c>
      <c r="C314" s="41" t="s">
        <v>959</v>
      </c>
      <c r="D314" s="41"/>
      <c r="E314" s="41" t="s">
        <v>17</v>
      </c>
      <c r="F314" s="41">
        <v>2025</v>
      </c>
      <c r="G314" s="41" t="s">
        <v>1346</v>
      </c>
      <c r="H314" s="41"/>
      <c r="I314" s="43"/>
      <c r="J314" s="41"/>
      <c r="K314" s="41"/>
      <c r="L314" s="41" t="s">
        <v>73</v>
      </c>
      <c r="M314" s="41">
        <v>100908</v>
      </c>
      <c r="N314" s="41" t="s">
        <v>960</v>
      </c>
      <c r="O314" s="41" t="s">
        <v>106</v>
      </c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  <c r="AB314" s="41"/>
      <c r="AC314" s="41"/>
      <c r="AD314" s="41"/>
      <c r="AE314" s="41"/>
      <c r="AF314" s="41"/>
      <c r="AG314" s="42"/>
      <c r="AH314" s="41"/>
      <c r="AI314" s="41"/>
      <c r="AJ314" s="41"/>
      <c r="AK314" s="41"/>
      <c r="AL314" s="41"/>
      <c r="AM314" s="41"/>
      <c r="AN314" s="41"/>
      <c r="AO314" s="41"/>
      <c r="AP314" s="41"/>
      <c r="AQ314" s="41"/>
      <c r="AR314" s="41"/>
      <c r="AS314" s="41"/>
      <c r="AT314" s="41"/>
      <c r="AU314" s="41"/>
      <c r="AV314" s="41"/>
      <c r="AW314" s="41"/>
      <c r="AX314" s="41"/>
      <c r="AY314" s="41"/>
      <c r="AZ314" s="41"/>
      <c r="BA314" s="41"/>
      <c r="BB314" s="41"/>
      <c r="BC314" s="41"/>
      <c r="BD314" s="42"/>
      <c r="BE314" s="41"/>
      <c r="BF314" s="41"/>
      <c r="BG314" s="41"/>
      <c r="BH314" s="42"/>
      <c r="BI314" s="41"/>
      <c r="BJ314" s="41"/>
    </row>
    <row r="315" spans="1:62" s="38" customFormat="1" x14ac:dyDescent="0.25">
      <c r="A315" s="41"/>
      <c r="B315" s="41" t="s">
        <v>961</v>
      </c>
      <c r="C315" s="41" t="s">
        <v>962</v>
      </c>
      <c r="D315" s="41"/>
      <c r="E315" s="41" t="s">
        <v>17</v>
      </c>
      <c r="F315" s="41">
        <v>2025</v>
      </c>
      <c r="G315" s="41" t="s">
        <v>1346</v>
      </c>
      <c r="H315" s="41"/>
      <c r="I315" s="43"/>
      <c r="J315" s="41"/>
      <c r="K315" s="41"/>
      <c r="L315" s="41" t="s">
        <v>77</v>
      </c>
      <c r="M315" s="41">
        <v>100938</v>
      </c>
      <c r="N315" s="41" t="s">
        <v>963</v>
      </c>
      <c r="O315" s="41" t="s">
        <v>146</v>
      </c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  <c r="AB315" s="41"/>
      <c r="AC315" s="41"/>
      <c r="AD315" s="41"/>
      <c r="AE315" s="41"/>
      <c r="AF315" s="41"/>
      <c r="AG315" s="42"/>
      <c r="AH315" s="41"/>
      <c r="AI315" s="41"/>
      <c r="AJ315" s="41"/>
      <c r="AK315" s="41"/>
      <c r="AL315" s="41"/>
      <c r="AM315" s="41"/>
      <c r="AN315" s="41"/>
      <c r="AO315" s="41"/>
      <c r="AP315" s="41"/>
      <c r="AQ315" s="41"/>
      <c r="AR315" s="41"/>
      <c r="AS315" s="41"/>
      <c r="AT315" s="41"/>
      <c r="AU315" s="41"/>
      <c r="AV315" s="41"/>
      <c r="AW315" s="41"/>
      <c r="AX315" s="41"/>
      <c r="AY315" s="41"/>
      <c r="AZ315" s="41"/>
      <c r="BA315" s="41"/>
      <c r="BB315" s="41"/>
      <c r="BC315" s="41"/>
      <c r="BD315" s="42"/>
      <c r="BE315" s="41"/>
      <c r="BF315" s="41"/>
      <c r="BG315" s="41"/>
      <c r="BH315" s="42"/>
      <c r="BI315" s="41"/>
      <c r="BJ315" s="41"/>
    </row>
    <row r="316" spans="1:62" s="38" customFormat="1" x14ac:dyDescent="0.25">
      <c r="A316" s="41"/>
      <c r="B316" s="41" t="s">
        <v>964</v>
      </c>
      <c r="C316" s="41" t="s">
        <v>965</v>
      </c>
      <c r="D316" s="41"/>
      <c r="E316" s="41" t="s">
        <v>17</v>
      </c>
      <c r="F316" s="41">
        <v>2025</v>
      </c>
      <c r="G316" s="41" t="s">
        <v>1346</v>
      </c>
      <c r="H316" s="41"/>
      <c r="I316" s="43"/>
      <c r="J316" s="41"/>
      <c r="K316" s="41"/>
      <c r="L316" s="41" t="s">
        <v>73</v>
      </c>
      <c r="M316" s="41">
        <v>100936</v>
      </c>
      <c r="N316" s="41" t="s">
        <v>966</v>
      </c>
      <c r="O316" s="41" t="s">
        <v>67</v>
      </c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  <c r="AB316" s="41"/>
      <c r="AC316" s="41"/>
      <c r="AD316" s="41"/>
      <c r="AE316" s="41"/>
      <c r="AF316" s="41"/>
      <c r="AG316" s="42"/>
      <c r="AH316" s="41"/>
      <c r="AI316" s="41"/>
      <c r="AJ316" s="41"/>
      <c r="AK316" s="41"/>
      <c r="AL316" s="41"/>
      <c r="AM316" s="41"/>
      <c r="AN316" s="41"/>
      <c r="AO316" s="41"/>
      <c r="AP316" s="41"/>
      <c r="AQ316" s="41"/>
      <c r="AR316" s="41"/>
      <c r="AS316" s="41"/>
      <c r="AT316" s="41"/>
      <c r="AU316" s="41"/>
      <c r="AV316" s="41"/>
      <c r="AW316" s="41"/>
      <c r="AX316" s="41"/>
      <c r="AY316" s="41"/>
      <c r="AZ316" s="41"/>
      <c r="BA316" s="41"/>
      <c r="BB316" s="41"/>
      <c r="BC316" s="41"/>
      <c r="BD316" s="42"/>
      <c r="BE316" s="41"/>
      <c r="BF316" s="41"/>
      <c r="BG316" s="41"/>
      <c r="BH316" s="42"/>
      <c r="BI316" s="41"/>
      <c r="BJ316" s="41"/>
    </row>
    <row r="317" spans="1:62" s="38" customFormat="1" x14ac:dyDescent="0.25">
      <c r="A317" s="41"/>
      <c r="B317" s="41" t="s">
        <v>967</v>
      </c>
      <c r="C317" s="41" t="s">
        <v>968</v>
      </c>
      <c r="D317" s="41"/>
      <c r="E317" s="41" t="s">
        <v>17</v>
      </c>
      <c r="F317" s="41">
        <v>2025</v>
      </c>
      <c r="G317" s="41" t="s">
        <v>1346</v>
      </c>
      <c r="H317" s="41"/>
      <c r="I317" s="43"/>
      <c r="J317" s="41"/>
      <c r="K317" s="41"/>
      <c r="L317" s="41" t="s">
        <v>73</v>
      </c>
      <c r="M317" s="41">
        <v>100913</v>
      </c>
      <c r="N317" s="41" t="s">
        <v>969</v>
      </c>
      <c r="O317" s="41" t="s">
        <v>258</v>
      </c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  <c r="AB317" s="41"/>
      <c r="AC317" s="41"/>
      <c r="AD317" s="41"/>
      <c r="AE317" s="41"/>
      <c r="AF317" s="41"/>
      <c r="AG317" s="42"/>
      <c r="AH317" s="41"/>
      <c r="AI317" s="41"/>
      <c r="AJ317" s="41"/>
      <c r="AK317" s="41"/>
      <c r="AL317" s="41"/>
      <c r="AM317" s="41"/>
      <c r="AN317" s="41"/>
      <c r="AO317" s="41"/>
      <c r="AP317" s="41"/>
      <c r="AQ317" s="41"/>
      <c r="AR317" s="41"/>
      <c r="AS317" s="41"/>
      <c r="AT317" s="41"/>
      <c r="AU317" s="41"/>
      <c r="AV317" s="41"/>
      <c r="AW317" s="41"/>
      <c r="AX317" s="41"/>
      <c r="AY317" s="41"/>
      <c r="AZ317" s="41"/>
      <c r="BA317" s="41"/>
      <c r="BB317" s="41"/>
      <c r="BC317" s="41"/>
      <c r="BD317" s="42"/>
      <c r="BE317" s="41"/>
      <c r="BF317" s="41"/>
      <c r="BG317" s="41"/>
      <c r="BH317" s="42"/>
      <c r="BI317" s="41"/>
      <c r="BJ317" s="41"/>
    </row>
    <row r="318" spans="1:62" s="38" customFormat="1" x14ac:dyDescent="0.25">
      <c r="A318" s="41"/>
      <c r="B318" s="41" t="s">
        <v>970</v>
      </c>
      <c r="C318" s="41" t="s">
        <v>971</v>
      </c>
      <c r="D318" s="41"/>
      <c r="E318" s="41" t="s">
        <v>17</v>
      </c>
      <c r="F318" s="41">
        <v>2025</v>
      </c>
      <c r="G318" s="41" t="s">
        <v>1346</v>
      </c>
      <c r="H318" s="41"/>
      <c r="I318" s="43"/>
      <c r="J318" s="41"/>
      <c r="K318" s="41"/>
      <c r="L318" s="41" t="s">
        <v>73</v>
      </c>
      <c r="M318" s="41">
        <v>100966</v>
      </c>
      <c r="N318" s="41" t="s">
        <v>972</v>
      </c>
      <c r="O318" s="41" t="s">
        <v>111</v>
      </c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  <c r="AB318" s="41"/>
      <c r="AC318" s="41"/>
      <c r="AD318" s="41"/>
      <c r="AE318" s="41"/>
      <c r="AF318" s="41"/>
      <c r="AG318" s="42"/>
      <c r="AH318" s="41"/>
      <c r="AI318" s="41"/>
      <c r="AJ318" s="41"/>
      <c r="AK318" s="41"/>
      <c r="AL318" s="41"/>
      <c r="AM318" s="41"/>
      <c r="AN318" s="41"/>
      <c r="AO318" s="41"/>
      <c r="AP318" s="41"/>
      <c r="AQ318" s="41"/>
      <c r="AR318" s="41"/>
      <c r="AS318" s="41"/>
      <c r="AT318" s="41"/>
      <c r="AU318" s="41"/>
      <c r="AV318" s="41"/>
      <c r="AW318" s="41"/>
      <c r="AX318" s="41"/>
      <c r="AY318" s="41"/>
      <c r="AZ318" s="41"/>
      <c r="BA318" s="41"/>
      <c r="BB318" s="41"/>
      <c r="BC318" s="41"/>
      <c r="BD318" s="42"/>
      <c r="BE318" s="41"/>
      <c r="BF318" s="41"/>
      <c r="BG318" s="41"/>
      <c r="BH318" s="42"/>
      <c r="BI318" s="41"/>
      <c r="BJ318" s="41"/>
    </row>
    <row r="319" spans="1:62" s="38" customFormat="1" x14ac:dyDescent="0.25">
      <c r="A319" s="41"/>
      <c r="B319" s="41" t="s">
        <v>973</v>
      </c>
      <c r="C319" s="41" t="s">
        <v>974</v>
      </c>
      <c r="D319" s="41"/>
      <c r="E319" s="41" t="s">
        <v>17</v>
      </c>
      <c r="F319" s="41">
        <v>2025</v>
      </c>
      <c r="G319" s="41" t="s">
        <v>1346</v>
      </c>
      <c r="H319" s="41"/>
      <c r="I319" s="43"/>
      <c r="J319" s="41"/>
      <c r="K319" s="41"/>
      <c r="L319" s="41" t="s">
        <v>77</v>
      </c>
      <c r="M319" s="41">
        <v>50938</v>
      </c>
      <c r="N319" s="41" t="s">
        <v>975</v>
      </c>
      <c r="O319" s="41" t="s">
        <v>99</v>
      </c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  <c r="AB319" s="41"/>
      <c r="AC319" s="41"/>
      <c r="AD319" s="41"/>
      <c r="AE319" s="41"/>
      <c r="AF319" s="41"/>
      <c r="AG319" s="42"/>
      <c r="AH319" s="41"/>
      <c r="AI319" s="41"/>
      <c r="AJ319" s="41"/>
      <c r="AK319" s="41"/>
      <c r="AL319" s="41"/>
      <c r="AM319" s="41"/>
      <c r="AN319" s="41"/>
      <c r="AO319" s="41"/>
      <c r="AP319" s="41"/>
      <c r="AQ319" s="41"/>
      <c r="AR319" s="41"/>
      <c r="AS319" s="41"/>
      <c r="AT319" s="41"/>
      <c r="AU319" s="41"/>
      <c r="AV319" s="41"/>
      <c r="AW319" s="41"/>
      <c r="AX319" s="41"/>
      <c r="AY319" s="41"/>
      <c r="AZ319" s="41"/>
      <c r="BA319" s="41"/>
      <c r="BB319" s="41"/>
      <c r="BC319" s="41"/>
      <c r="BD319" s="42"/>
      <c r="BE319" s="41"/>
      <c r="BF319" s="41"/>
      <c r="BG319" s="41"/>
      <c r="BH319" s="42"/>
      <c r="BI319" s="41"/>
      <c r="BJ319" s="41"/>
    </row>
    <row r="320" spans="1:62" s="38" customFormat="1" x14ac:dyDescent="0.25">
      <c r="A320" s="41"/>
      <c r="B320" s="41" t="s">
        <v>976</v>
      </c>
      <c r="C320" s="41" t="s">
        <v>977</v>
      </c>
      <c r="D320" s="41"/>
      <c r="E320" s="41" t="s">
        <v>17</v>
      </c>
      <c r="F320" s="41">
        <v>2025</v>
      </c>
      <c r="G320" s="41" t="s">
        <v>1346</v>
      </c>
      <c r="H320" s="41"/>
      <c r="I320" s="43"/>
      <c r="J320" s="41"/>
      <c r="K320" s="41"/>
      <c r="L320" s="41" t="s">
        <v>268</v>
      </c>
      <c r="M320" s="41">
        <v>1000998</v>
      </c>
      <c r="N320" s="41" t="s">
        <v>978</v>
      </c>
      <c r="O320" s="41" t="s">
        <v>258</v>
      </c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41"/>
      <c r="AC320" s="41"/>
      <c r="AD320" s="41"/>
      <c r="AE320" s="41"/>
      <c r="AF320" s="41"/>
      <c r="AG320" s="42"/>
      <c r="AH320" s="41"/>
      <c r="AI320" s="41"/>
      <c r="AJ320" s="41"/>
      <c r="AK320" s="41"/>
      <c r="AL320" s="41"/>
      <c r="AM320" s="41"/>
      <c r="AN320" s="41"/>
      <c r="AO320" s="41"/>
      <c r="AP320" s="41"/>
      <c r="AQ320" s="41"/>
      <c r="AR320" s="41"/>
      <c r="AS320" s="41"/>
      <c r="AT320" s="41"/>
      <c r="AU320" s="41"/>
      <c r="AV320" s="41"/>
      <c r="AW320" s="41"/>
      <c r="AX320" s="41"/>
      <c r="AY320" s="41"/>
      <c r="AZ320" s="41"/>
      <c r="BA320" s="41"/>
      <c r="BB320" s="41"/>
      <c r="BC320" s="41"/>
      <c r="BD320" s="42"/>
      <c r="BE320" s="41"/>
      <c r="BF320" s="41"/>
      <c r="BG320" s="41"/>
      <c r="BH320" s="42"/>
      <c r="BI320" s="41"/>
      <c r="BJ320" s="41"/>
    </row>
    <row r="321" spans="1:62" s="38" customFormat="1" x14ac:dyDescent="0.25">
      <c r="A321" s="41"/>
      <c r="B321" s="41" t="s">
        <v>979</v>
      </c>
      <c r="C321" s="41" t="s">
        <v>980</v>
      </c>
      <c r="D321" s="41"/>
      <c r="E321" s="41" t="s">
        <v>17</v>
      </c>
      <c r="F321" s="41">
        <v>2025</v>
      </c>
      <c r="G321" s="41" t="s">
        <v>1346</v>
      </c>
      <c r="H321" s="41"/>
      <c r="I321" s="43"/>
      <c r="J321" s="41"/>
      <c r="K321" s="41"/>
      <c r="L321" s="41" t="s">
        <v>478</v>
      </c>
      <c r="M321" s="41">
        <v>50000</v>
      </c>
      <c r="N321" s="41" t="s">
        <v>981</v>
      </c>
      <c r="O321" s="41" t="s">
        <v>258</v>
      </c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  <c r="AB321" s="41"/>
      <c r="AC321" s="41"/>
      <c r="AD321" s="41"/>
      <c r="AE321" s="41"/>
      <c r="AF321" s="41"/>
      <c r="AG321" s="42"/>
      <c r="AH321" s="41"/>
      <c r="AI321" s="41"/>
      <c r="AJ321" s="41"/>
      <c r="AK321" s="41"/>
      <c r="AL321" s="41"/>
      <c r="AM321" s="41"/>
      <c r="AN321" s="41"/>
      <c r="AO321" s="41"/>
      <c r="AP321" s="41"/>
      <c r="AQ321" s="41"/>
      <c r="AR321" s="41"/>
      <c r="AS321" s="41"/>
      <c r="AT321" s="41"/>
      <c r="AU321" s="41"/>
      <c r="AV321" s="41"/>
      <c r="AW321" s="41"/>
      <c r="AX321" s="41"/>
      <c r="AY321" s="41"/>
      <c r="AZ321" s="41"/>
      <c r="BA321" s="41"/>
      <c r="BB321" s="41"/>
      <c r="BC321" s="41"/>
      <c r="BD321" s="42"/>
      <c r="BE321" s="41"/>
      <c r="BF321" s="41"/>
      <c r="BG321" s="41"/>
      <c r="BH321" s="42"/>
      <c r="BI321" s="41"/>
      <c r="BJ321" s="41"/>
    </row>
    <row r="322" spans="1:62" s="38" customFormat="1" x14ac:dyDescent="0.25">
      <c r="A322" s="41"/>
      <c r="B322" s="41" t="s">
        <v>982</v>
      </c>
      <c r="C322" s="41" t="s">
        <v>983</v>
      </c>
      <c r="D322" s="41"/>
      <c r="E322" s="41" t="s">
        <v>17</v>
      </c>
      <c r="F322" s="41">
        <v>2025</v>
      </c>
      <c r="G322" s="41" t="s">
        <v>1346</v>
      </c>
      <c r="H322" s="41"/>
      <c r="I322" s="43"/>
      <c r="J322" s="41"/>
      <c r="K322" s="41"/>
      <c r="L322" s="41" t="s">
        <v>984</v>
      </c>
      <c r="M322" s="41">
        <v>100338</v>
      </c>
      <c r="N322" s="41" t="s">
        <v>985</v>
      </c>
      <c r="O322" s="41" t="s">
        <v>258</v>
      </c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  <c r="AB322" s="41"/>
      <c r="AC322" s="41"/>
      <c r="AD322" s="41"/>
      <c r="AE322" s="41"/>
      <c r="AF322" s="41"/>
      <c r="AG322" s="42"/>
      <c r="AH322" s="41"/>
      <c r="AI322" s="41"/>
      <c r="AJ322" s="41"/>
      <c r="AK322" s="41"/>
      <c r="AL322" s="41"/>
      <c r="AM322" s="41"/>
      <c r="AN322" s="41"/>
      <c r="AO322" s="41"/>
      <c r="AP322" s="41"/>
      <c r="AQ322" s="41"/>
      <c r="AR322" s="41"/>
      <c r="AS322" s="41"/>
      <c r="AT322" s="41"/>
      <c r="AU322" s="41"/>
      <c r="AV322" s="41"/>
      <c r="AW322" s="41"/>
      <c r="AX322" s="41"/>
      <c r="AY322" s="41"/>
      <c r="AZ322" s="41"/>
      <c r="BA322" s="41"/>
      <c r="BB322" s="41"/>
      <c r="BC322" s="41"/>
      <c r="BD322" s="42"/>
      <c r="BE322" s="41"/>
      <c r="BF322" s="41"/>
      <c r="BG322" s="41"/>
      <c r="BH322" s="42"/>
      <c r="BI322" s="41"/>
      <c r="BJ322" s="41"/>
    </row>
    <row r="323" spans="1:62" s="38" customFormat="1" x14ac:dyDescent="0.25">
      <c r="A323" s="41"/>
      <c r="B323" s="41" t="s">
        <v>90</v>
      </c>
      <c r="C323" s="41" t="s">
        <v>986</v>
      </c>
      <c r="D323" s="41"/>
      <c r="E323" s="41" t="s">
        <v>17</v>
      </c>
      <c r="F323" s="41">
        <v>2025</v>
      </c>
      <c r="G323" s="41" t="s">
        <v>1346</v>
      </c>
      <c r="H323" s="41"/>
      <c r="I323" s="43"/>
      <c r="J323" s="41"/>
      <c r="K323" s="41"/>
      <c r="L323" s="41" t="s">
        <v>73</v>
      </c>
      <c r="M323" s="41">
        <v>250905</v>
      </c>
      <c r="N323" s="41" t="s">
        <v>987</v>
      </c>
      <c r="O323" s="41" t="s">
        <v>266</v>
      </c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  <c r="AB323" s="41"/>
      <c r="AC323" s="41"/>
      <c r="AD323" s="41"/>
      <c r="AE323" s="41"/>
      <c r="AF323" s="41"/>
      <c r="AG323" s="42"/>
      <c r="AH323" s="41"/>
      <c r="AI323" s="41"/>
      <c r="AJ323" s="41"/>
      <c r="AK323" s="41"/>
      <c r="AL323" s="41"/>
      <c r="AM323" s="41"/>
      <c r="AN323" s="41"/>
      <c r="AO323" s="41"/>
      <c r="AP323" s="41"/>
      <c r="AQ323" s="41"/>
      <c r="AR323" s="41"/>
      <c r="AS323" s="41"/>
      <c r="AT323" s="41"/>
      <c r="AU323" s="41"/>
      <c r="AV323" s="41"/>
      <c r="AW323" s="41"/>
      <c r="AX323" s="41"/>
      <c r="AY323" s="41"/>
      <c r="AZ323" s="41"/>
      <c r="BA323" s="41"/>
      <c r="BB323" s="41"/>
      <c r="BC323" s="41"/>
      <c r="BD323" s="42"/>
      <c r="BE323" s="41"/>
      <c r="BF323" s="41"/>
      <c r="BG323" s="41"/>
      <c r="BH323" s="42"/>
      <c r="BI323" s="41"/>
      <c r="BJ323" s="41"/>
    </row>
    <row r="324" spans="1:62" s="38" customFormat="1" x14ac:dyDescent="0.25">
      <c r="A324" s="41"/>
      <c r="B324" s="41" t="s">
        <v>988</v>
      </c>
      <c r="C324" s="41" t="s">
        <v>989</v>
      </c>
      <c r="D324" s="41"/>
      <c r="E324" s="41" t="s">
        <v>17</v>
      </c>
      <c r="F324" s="41">
        <v>2025</v>
      </c>
      <c r="G324" s="41" t="s">
        <v>1346</v>
      </c>
      <c r="H324" s="41"/>
      <c r="I324" s="43"/>
      <c r="J324" s="41"/>
      <c r="K324" s="41"/>
      <c r="L324" s="41" t="s">
        <v>73</v>
      </c>
      <c r="M324" s="41">
        <v>50927</v>
      </c>
      <c r="N324" s="41" t="s">
        <v>990</v>
      </c>
      <c r="O324" s="41" t="s">
        <v>67</v>
      </c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  <c r="AB324" s="41"/>
      <c r="AC324" s="41"/>
      <c r="AD324" s="41"/>
      <c r="AE324" s="41"/>
      <c r="AF324" s="41"/>
      <c r="AG324" s="42"/>
      <c r="AH324" s="41"/>
      <c r="AI324" s="41"/>
      <c r="AJ324" s="41"/>
      <c r="AK324" s="41"/>
      <c r="AL324" s="41"/>
      <c r="AM324" s="41"/>
      <c r="AN324" s="41"/>
      <c r="AO324" s="41"/>
      <c r="AP324" s="41"/>
      <c r="AQ324" s="41"/>
      <c r="AR324" s="41"/>
      <c r="AS324" s="41"/>
      <c r="AT324" s="41"/>
      <c r="AU324" s="41"/>
      <c r="AV324" s="41"/>
      <c r="AW324" s="41"/>
      <c r="AX324" s="41"/>
      <c r="AY324" s="41"/>
      <c r="AZ324" s="41"/>
      <c r="BA324" s="41"/>
      <c r="BB324" s="41"/>
      <c r="BC324" s="41"/>
      <c r="BD324" s="42"/>
      <c r="BE324" s="41"/>
      <c r="BF324" s="41"/>
      <c r="BG324" s="41"/>
      <c r="BH324" s="42"/>
      <c r="BI324" s="41"/>
      <c r="BJ324" s="41"/>
    </row>
    <row r="325" spans="1:62" s="38" customFormat="1" x14ac:dyDescent="0.25">
      <c r="A325" s="41"/>
      <c r="B325" s="41" t="s">
        <v>991</v>
      </c>
      <c r="C325" s="41" t="s">
        <v>992</v>
      </c>
      <c r="D325" s="41"/>
      <c r="E325" s="41" t="s">
        <v>17</v>
      </c>
      <c r="F325" s="41">
        <v>2025</v>
      </c>
      <c r="G325" s="41" t="s">
        <v>1346</v>
      </c>
      <c r="H325" s="41"/>
      <c r="I325" s="43"/>
      <c r="J325" s="41"/>
      <c r="K325" s="41"/>
      <c r="L325" s="41" t="s">
        <v>77</v>
      </c>
      <c r="M325" s="41">
        <v>50000</v>
      </c>
      <c r="N325" s="41" t="s">
        <v>993</v>
      </c>
      <c r="O325" s="41" t="s">
        <v>272</v>
      </c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  <c r="AB325" s="41"/>
      <c r="AC325" s="41"/>
      <c r="AD325" s="41"/>
      <c r="AE325" s="41"/>
      <c r="AF325" s="41"/>
      <c r="AG325" s="42"/>
      <c r="AH325" s="41"/>
      <c r="AI325" s="41"/>
      <c r="AJ325" s="41"/>
      <c r="AK325" s="41"/>
      <c r="AL325" s="41"/>
      <c r="AM325" s="41"/>
      <c r="AN325" s="41"/>
      <c r="AO325" s="41"/>
      <c r="AP325" s="41"/>
      <c r="AQ325" s="41"/>
      <c r="AR325" s="41"/>
      <c r="AS325" s="41"/>
      <c r="AT325" s="41"/>
      <c r="AU325" s="41"/>
      <c r="AV325" s="41"/>
      <c r="AW325" s="41"/>
      <c r="AX325" s="41"/>
      <c r="AY325" s="41"/>
      <c r="AZ325" s="41"/>
      <c r="BA325" s="41"/>
      <c r="BB325" s="41"/>
      <c r="BC325" s="41"/>
      <c r="BD325" s="42"/>
      <c r="BE325" s="41"/>
      <c r="BF325" s="41"/>
      <c r="BG325" s="41"/>
      <c r="BH325" s="42"/>
      <c r="BI325" s="41"/>
      <c r="BJ325" s="41"/>
    </row>
    <row r="326" spans="1:62" s="38" customFormat="1" x14ac:dyDescent="0.25">
      <c r="A326" s="41"/>
      <c r="B326" s="41" t="s">
        <v>994</v>
      </c>
      <c r="C326" s="41" t="s">
        <v>995</v>
      </c>
      <c r="D326" s="41"/>
      <c r="E326" s="41" t="s">
        <v>17</v>
      </c>
      <c r="F326" s="41">
        <v>2025</v>
      </c>
      <c r="G326" s="41" t="s">
        <v>1346</v>
      </c>
      <c r="H326" s="41"/>
      <c r="I326" s="43"/>
      <c r="J326" s="41"/>
      <c r="K326" s="41"/>
      <c r="L326" s="41" t="s">
        <v>73</v>
      </c>
      <c r="M326" s="41">
        <v>50000</v>
      </c>
      <c r="N326" s="41" t="s">
        <v>996</v>
      </c>
      <c r="O326" s="41" t="s">
        <v>67</v>
      </c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  <c r="AB326" s="41"/>
      <c r="AC326" s="41"/>
      <c r="AD326" s="41"/>
      <c r="AE326" s="41"/>
      <c r="AF326" s="41"/>
      <c r="AG326" s="42"/>
      <c r="AH326" s="41"/>
      <c r="AI326" s="41"/>
      <c r="AJ326" s="41"/>
      <c r="AK326" s="41"/>
      <c r="AL326" s="41"/>
      <c r="AM326" s="41"/>
      <c r="AN326" s="41"/>
      <c r="AO326" s="41"/>
      <c r="AP326" s="41"/>
      <c r="AQ326" s="41"/>
      <c r="AR326" s="41"/>
      <c r="AS326" s="41"/>
      <c r="AT326" s="41"/>
      <c r="AU326" s="41"/>
      <c r="AV326" s="41"/>
      <c r="AW326" s="41"/>
      <c r="AX326" s="41"/>
      <c r="AY326" s="41"/>
      <c r="AZ326" s="41"/>
      <c r="BA326" s="41"/>
      <c r="BB326" s="41"/>
      <c r="BC326" s="41"/>
      <c r="BD326" s="42"/>
      <c r="BE326" s="41"/>
      <c r="BF326" s="41"/>
      <c r="BG326" s="41"/>
      <c r="BH326" s="42"/>
      <c r="BI326" s="41"/>
      <c r="BJ326" s="41"/>
    </row>
    <row r="327" spans="1:62" s="38" customFormat="1" x14ac:dyDescent="0.25">
      <c r="A327" s="41"/>
      <c r="B327" s="41" t="s">
        <v>997</v>
      </c>
      <c r="C327" s="41" t="s">
        <v>998</v>
      </c>
      <c r="D327" s="41"/>
      <c r="E327" s="41" t="s">
        <v>17</v>
      </c>
      <c r="F327" s="41">
        <v>2025</v>
      </c>
      <c r="G327" s="41" t="s">
        <v>1346</v>
      </c>
      <c r="H327" s="41"/>
      <c r="I327" s="43"/>
      <c r="J327" s="41"/>
      <c r="K327" s="41"/>
      <c r="L327" s="41" t="s">
        <v>268</v>
      </c>
      <c r="M327" s="41">
        <v>50984</v>
      </c>
      <c r="N327" s="41" t="s">
        <v>999</v>
      </c>
      <c r="O327" s="41" t="s">
        <v>146</v>
      </c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  <c r="AB327" s="41"/>
      <c r="AC327" s="41"/>
      <c r="AD327" s="41"/>
      <c r="AE327" s="41"/>
      <c r="AF327" s="41"/>
      <c r="AG327" s="42"/>
      <c r="AH327" s="41"/>
      <c r="AI327" s="41"/>
      <c r="AJ327" s="41"/>
      <c r="AK327" s="41"/>
      <c r="AL327" s="41"/>
      <c r="AM327" s="41"/>
      <c r="AN327" s="41"/>
      <c r="AO327" s="41"/>
      <c r="AP327" s="41"/>
      <c r="AQ327" s="41"/>
      <c r="AR327" s="41"/>
      <c r="AS327" s="41"/>
      <c r="AT327" s="41"/>
      <c r="AU327" s="41"/>
      <c r="AV327" s="41"/>
      <c r="AW327" s="41"/>
      <c r="AX327" s="41"/>
      <c r="AY327" s="41"/>
      <c r="AZ327" s="41"/>
      <c r="BA327" s="41"/>
      <c r="BB327" s="41"/>
      <c r="BC327" s="41"/>
      <c r="BD327" s="42"/>
      <c r="BE327" s="41"/>
      <c r="BF327" s="41"/>
      <c r="BG327" s="41"/>
      <c r="BH327" s="42"/>
      <c r="BI327" s="41"/>
      <c r="BJ327" s="41"/>
    </row>
    <row r="328" spans="1:62" s="38" customFormat="1" x14ac:dyDescent="0.25">
      <c r="A328" s="41"/>
      <c r="B328" s="41" t="s">
        <v>90</v>
      </c>
      <c r="C328" s="41" t="s">
        <v>1000</v>
      </c>
      <c r="D328" s="41"/>
      <c r="E328" s="41" t="s">
        <v>17</v>
      </c>
      <c r="F328" s="41">
        <v>2025</v>
      </c>
      <c r="G328" s="41" t="s">
        <v>1346</v>
      </c>
      <c r="H328" s="41"/>
      <c r="I328" s="43"/>
      <c r="J328" s="41"/>
      <c r="K328" s="41"/>
      <c r="L328" s="41" t="s">
        <v>915</v>
      </c>
      <c r="M328" s="41">
        <v>16050000</v>
      </c>
      <c r="N328" s="41" t="s">
        <v>1001</v>
      </c>
      <c r="O328" s="41" t="s">
        <v>235</v>
      </c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  <c r="AB328" s="41"/>
      <c r="AC328" s="41"/>
      <c r="AD328" s="41"/>
      <c r="AE328" s="41"/>
      <c r="AF328" s="41"/>
      <c r="AG328" s="42"/>
      <c r="AH328" s="41"/>
      <c r="AI328" s="41"/>
      <c r="AJ328" s="41"/>
      <c r="AK328" s="41"/>
      <c r="AL328" s="41"/>
      <c r="AM328" s="41"/>
      <c r="AN328" s="41"/>
      <c r="AO328" s="41"/>
      <c r="AP328" s="41"/>
      <c r="AQ328" s="41"/>
      <c r="AR328" s="41"/>
      <c r="AS328" s="41"/>
      <c r="AT328" s="41"/>
      <c r="AU328" s="41"/>
      <c r="AV328" s="41"/>
      <c r="AW328" s="41"/>
      <c r="AX328" s="41"/>
      <c r="AY328" s="41"/>
      <c r="AZ328" s="41"/>
      <c r="BA328" s="41"/>
      <c r="BB328" s="41"/>
      <c r="BC328" s="41"/>
      <c r="BD328" s="42"/>
      <c r="BE328" s="41"/>
      <c r="BF328" s="41"/>
      <c r="BG328" s="41"/>
      <c r="BH328" s="42"/>
      <c r="BI328" s="41"/>
      <c r="BJ328" s="41"/>
    </row>
    <row r="329" spans="1:62" s="38" customFormat="1" x14ac:dyDescent="0.25">
      <c r="A329" s="41"/>
      <c r="B329" s="41" t="s">
        <v>1002</v>
      </c>
      <c r="C329" s="41" t="s">
        <v>1003</v>
      </c>
      <c r="D329" s="41"/>
      <c r="E329" s="41" t="s">
        <v>17</v>
      </c>
      <c r="F329" s="41">
        <v>2025</v>
      </c>
      <c r="G329" s="41" t="s">
        <v>1346</v>
      </c>
      <c r="H329" s="41"/>
      <c r="I329" s="43"/>
      <c r="J329" s="41"/>
      <c r="K329" s="41"/>
      <c r="L329" s="41" t="s">
        <v>77</v>
      </c>
      <c r="M329" s="41">
        <v>50951</v>
      </c>
      <c r="N329" s="41" t="s">
        <v>1004</v>
      </c>
      <c r="O329" s="41" t="s">
        <v>235</v>
      </c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  <c r="AB329" s="41"/>
      <c r="AC329" s="41"/>
      <c r="AD329" s="41"/>
      <c r="AE329" s="41"/>
      <c r="AF329" s="41"/>
      <c r="AG329" s="42"/>
      <c r="AH329" s="41"/>
      <c r="AI329" s="41"/>
      <c r="AJ329" s="41"/>
      <c r="AK329" s="41"/>
      <c r="AL329" s="41"/>
      <c r="AM329" s="41"/>
      <c r="AN329" s="41"/>
      <c r="AO329" s="41"/>
      <c r="AP329" s="41"/>
      <c r="AQ329" s="41"/>
      <c r="AR329" s="41"/>
      <c r="AS329" s="41"/>
      <c r="AT329" s="41"/>
      <c r="AU329" s="41"/>
      <c r="AV329" s="41"/>
      <c r="AW329" s="41"/>
      <c r="AX329" s="41"/>
      <c r="AY329" s="41"/>
      <c r="AZ329" s="41"/>
      <c r="BA329" s="41"/>
      <c r="BB329" s="41"/>
      <c r="BC329" s="41"/>
      <c r="BD329" s="42"/>
      <c r="BE329" s="41"/>
      <c r="BF329" s="41"/>
      <c r="BG329" s="41"/>
      <c r="BH329" s="42"/>
      <c r="BI329" s="41"/>
      <c r="BJ329" s="41"/>
    </row>
    <row r="330" spans="1:62" s="38" customFormat="1" x14ac:dyDescent="0.25">
      <c r="A330" s="41"/>
      <c r="B330" s="41" t="s">
        <v>1005</v>
      </c>
      <c r="C330" s="41" t="s">
        <v>1006</v>
      </c>
      <c r="D330" s="41"/>
      <c r="E330" s="41" t="s">
        <v>17</v>
      </c>
      <c r="F330" s="41">
        <v>2025</v>
      </c>
      <c r="G330" s="41" t="s">
        <v>1346</v>
      </c>
      <c r="H330" s="41"/>
      <c r="I330" s="43"/>
      <c r="J330" s="41"/>
      <c r="K330" s="41"/>
      <c r="L330" s="41" t="s">
        <v>478</v>
      </c>
      <c r="M330" s="41">
        <v>50931</v>
      </c>
      <c r="N330" s="41" t="s">
        <v>1007</v>
      </c>
      <c r="O330" s="41" t="s">
        <v>99</v>
      </c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  <c r="AB330" s="41"/>
      <c r="AC330" s="41"/>
      <c r="AD330" s="41"/>
      <c r="AE330" s="41"/>
      <c r="AF330" s="41"/>
      <c r="AG330" s="42"/>
      <c r="AH330" s="41"/>
      <c r="AI330" s="41"/>
      <c r="AJ330" s="41"/>
      <c r="AK330" s="41"/>
      <c r="AL330" s="41"/>
      <c r="AM330" s="41"/>
      <c r="AN330" s="41"/>
      <c r="AO330" s="41"/>
      <c r="AP330" s="41"/>
      <c r="AQ330" s="41"/>
      <c r="AR330" s="41"/>
      <c r="AS330" s="41"/>
      <c r="AT330" s="41"/>
      <c r="AU330" s="41"/>
      <c r="AV330" s="41"/>
      <c r="AW330" s="41"/>
      <c r="AX330" s="41"/>
      <c r="AY330" s="41"/>
      <c r="AZ330" s="41"/>
      <c r="BA330" s="41"/>
      <c r="BB330" s="41"/>
      <c r="BC330" s="41"/>
      <c r="BD330" s="42"/>
      <c r="BE330" s="41"/>
      <c r="BF330" s="41"/>
      <c r="BG330" s="41"/>
      <c r="BH330" s="42"/>
      <c r="BI330" s="41"/>
      <c r="BJ330" s="41"/>
    </row>
    <row r="331" spans="1:62" s="38" customFormat="1" x14ac:dyDescent="0.25">
      <c r="A331" s="41"/>
      <c r="B331" s="41" t="s">
        <v>1008</v>
      </c>
      <c r="C331" s="41" t="s">
        <v>1009</v>
      </c>
      <c r="D331" s="41"/>
      <c r="E331" s="41" t="s">
        <v>17</v>
      </c>
      <c r="F331" s="41">
        <v>2025</v>
      </c>
      <c r="G331" s="41" t="s">
        <v>1346</v>
      </c>
      <c r="H331" s="41"/>
      <c r="I331" s="43"/>
      <c r="J331" s="41"/>
      <c r="K331" s="41"/>
      <c r="L331" s="41" t="s">
        <v>268</v>
      </c>
      <c r="M331" s="41">
        <v>50920</v>
      </c>
      <c r="N331" s="41" t="s">
        <v>1010</v>
      </c>
      <c r="O331" s="41" t="s">
        <v>106</v>
      </c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  <c r="AB331" s="41"/>
      <c r="AC331" s="41"/>
      <c r="AD331" s="41"/>
      <c r="AE331" s="41"/>
      <c r="AF331" s="41"/>
      <c r="AG331" s="42"/>
      <c r="AH331" s="41"/>
      <c r="AI331" s="41"/>
      <c r="AJ331" s="41"/>
      <c r="AK331" s="41"/>
      <c r="AL331" s="41"/>
      <c r="AM331" s="41"/>
      <c r="AN331" s="41"/>
      <c r="AO331" s="41"/>
      <c r="AP331" s="41"/>
      <c r="AQ331" s="41"/>
      <c r="AR331" s="41"/>
      <c r="AS331" s="41"/>
      <c r="AT331" s="41"/>
      <c r="AU331" s="41"/>
      <c r="AV331" s="41"/>
      <c r="AW331" s="41"/>
      <c r="AX331" s="41"/>
      <c r="AY331" s="41"/>
      <c r="AZ331" s="41"/>
      <c r="BA331" s="41"/>
      <c r="BB331" s="41"/>
      <c r="BC331" s="41"/>
      <c r="BD331" s="42"/>
      <c r="BE331" s="41"/>
      <c r="BF331" s="41"/>
      <c r="BG331" s="41"/>
      <c r="BH331" s="42"/>
      <c r="BI331" s="41"/>
      <c r="BJ331" s="41"/>
    </row>
    <row r="332" spans="1:62" s="38" customFormat="1" x14ac:dyDescent="0.25">
      <c r="A332" s="41"/>
      <c r="B332" s="41" t="s">
        <v>1011</v>
      </c>
      <c r="C332" s="41" t="s">
        <v>1012</v>
      </c>
      <c r="D332" s="41"/>
      <c r="E332" s="41" t="s">
        <v>17</v>
      </c>
      <c r="F332" s="41">
        <v>2025</v>
      </c>
      <c r="G332" s="41" t="s">
        <v>1346</v>
      </c>
      <c r="H332" s="41"/>
      <c r="I332" s="43"/>
      <c r="J332" s="41"/>
      <c r="K332" s="41"/>
      <c r="L332" s="41" t="s">
        <v>268</v>
      </c>
      <c r="M332" s="41">
        <v>50978</v>
      </c>
      <c r="N332" s="41" t="s">
        <v>1013</v>
      </c>
      <c r="O332" s="41" t="s">
        <v>504</v>
      </c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  <c r="AC332" s="41"/>
      <c r="AD332" s="41"/>
      <c r="AE332" s="41"/>
      <c r="AF332" s="41"/>
      <c r="AG332" s="42"/>
      <c r="AH332" s="41"/>
      <c r="AI332" s="41"/>
      <c r="AJ332" s="41"/>
      <c r="AK332" s="41"/>
      <c r="AL332" s="41"/>
      <c r="AM332" s="41"/>
      <c r="AN332" s="41"/>
      <c r="AO332" s="41"/>
      <c r="AP332" s="41"/>
      <c r="AQ332" s="41"/>
      <c r="AR332" s="41"/>
      <c r="AS332" s="41"/>
      <c r="AT332" s="41"/>
      <c r="AU332" s="41"/>
      <c r="AV332" s="41"/>
      <c r="AW332" s="41"/>
      <c r="AX332" s="41"/>
      <c r="AY332" s="41"/>
      <c r="AZ332" s="41"/>
      <c r="BA332" s="41"/>
      <c r="BB332" s="41"/>
      <c r="BC332" s="41"/>
      <c r="BD332" s="42"/>
      <c r="BE332" s="41"/>
      <c r="BF332" s="41"/>
      <c r="BG332" s="41"/>
      <c r="BH332" s="42"/>
      <c r="BI332" s="41"/>
      <c r="BJ332" s="41"/>
    </row>
    <row r="333" spans="1:62" s="38" customFormat="1" x14ac:dyDescent="0.25">
      <c r="A333" s="41"/>
      <c r="B333" s="41" t="s">
        <v>1014</v>
      </c>
      <c r="C333" s="41" t="s">
        <v>1015</v>
      </c>
      <c r="D333" s="41"/>
      <c r="E333" s="41" t="s">
        <v>17</v>
      </c>
      <c r="F333" s="41">
        <v>2025</v>
      </c>
      <c r="G333" s="41" t="s">
        <v>1346</v>
      </c>
      <c r="H333" s="41"/>
      <c r="I333" s="43"/>
      <c r="J333" s="41"/>
      <c r="K333" s="41"/>
      <c r="L333" s="41" t="s">
        <v>77</v>
      </c>
      <c r="M333" s="41">
        <v>100909</v>
      </c>
      <c r="N333" s="41" t="s">
        <v>1016</v>
      </c>
      <c r="O333" s="41" t="s">
        <v>111</v>
      </c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  <c r="AB333" s="41"/>
      <c r="AC333" s="41"/>
      <c r="AD333" s="41"/>
      <c r="AE333" s="41"/>
      <c r="AF333" s="41"/>
      <c r="AG333" s="42"/>
      <c r="AH333" s="41"/>
      <c r="AI333" s="41"/>
      <c r="AJ333" s="41"/>
      <c r="AK333" s="41"/>
      <c r="AL333" s="41"/>
      <c r="AM333" s="41"/>
      <c r="AN333" s="41"/>
      <c r="AO333" s="41"/>
      <c r="AP333" s="41"/>
      <c r="AQ333" s="41"/>
      <c r="AR333" s="41"/>
      <c r="AS333" s="41"/>
      <c r="AT333" s="41"/>
      <c r="AU333" s="41"/>
      <c r="AV333" s="41"/>
      <c r="AW333" s="41"/>
      <c r="AX333" s="41"/>
      <c r="AY333" s="41"/>
      <c r="AZ333" s="41"/>
      <c r="BA333" s="41"/>
      <c r="BB333" s="41"/>
      <c r="BC333" s="41"/>
      <c r="BD333" s="42"/>
      <c r="BE333" s="41"/>
      <c r="BF333" s="41"/>
      <c r="BG333" s="41"/>
      <c r="BH333" s="42"/>
      <c r="BI333" s="41"/>
      <c r="BJ333" s="41"/>
    </row>
    <row r="334" spans="1:62" s="38" customFormat="1" x14ac:dyDescent="0.25">
      <c r="A334" s="41"/>
      <c r="B334" s="41" t="s">
        <v>199</v>
      </c>
      <c r="C334" s="41" t="s">
        <v>1017</v>
      </c>
      <c r="D334" s="41"/>
      <c r="E334" s="41" t="s">
        <v>17</v>
      </c>
      <c r="F334" s="41">
        <v>2025</v>
      </c>
      <c r="G334" s="41" t="s">
        <v>1346</v>
      </c>
      <c r="H334" s="41"/>
      <c r="I334" s="43"/>
      <c r="J334" s="41"/>
      <c r="K334" s="41"/>
      <c r="L334" s="41" t="s">
        <v>1018</v>
      </c>
      <c r="M334" s="41">
        <v>35941</v>
      </c>
      <c r="N334" s="41" t="s">
        <v>1019</v>
      </c>
      <c r="O334" s="41" t="s">
        <v>235</v>
      </c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  <c r="AB334" s="41"/>
      <c r="AC334" s="41"/>
      <c r="AD334" s="41"/>
      <c r="AE334" s="41"/>
      <c r="AF334" s="41"/>
      <c r="AG334" s="42"/>
      <c r="AH334" s="41"/>
      <c r="AI334" s="41"/>
      <c r="AJ334" s="41"/>
      <c r="AK334" s="41"/>
      <c r="AL334" s="41"/>
      <c r="AM334" s="41"/>
      <c r="AN334" s="41"/>
      <c r="AO334" s="41"/>
      <c r="AP334" s="41"/>
      <c r="AQ334" s="41"/>
      <c r="AR334" s="41"/>
      <c r="AS334" s="41"/>
      <c r="AT334" s="41"/>
      <c r="AU334" s="41"/>
      <c r="AV334" s="41"/>
      <c r="AW334" s="41"/>
      <c r="AX334" s="41"/>
      <c r="AY334" s="41"/>
      <c r="AZ334" s="41"/>
      <c r="BA334" s="41"/>
      <c r="BB334" s="41"/>
      <c r="BC334" s="41"/>
      <c r="BD334" s="42"/>
      <c r="BE334" s="41"/>
      <c r="BF334" s="41"/>
      <c r="BG334" s="41"/>
      <c r="BH334" s="42"/>
      <c r="BI334" s="41"/>
      <c r="BJ334" s="41"/>
    </row>
    <row r="335" spans="1:62" s="38" customFormat="1" x14ac:dyDescent="0.25">
      <c r="A335" s="41"/>
      <c r="B335" s="41" t="s">
        <v>1020</v>
      </c>
      <c r="C335" s="41" t="s">
        <v>1021</v>
      </c>
      <c r="D335" s="41"/>
      <c r="E335" s="41" t="s">
        <v>17</v>
      </c>
      <c r="F335" s="41">
        <v>2025</v>
      </c>
      <c r="G335" s="41" t="s">
        <v>1346</v>
      </c>
      <c r="H335" s="41"/>
      <c r="I335" s="43"/>
      <c r="J335" s="41"/>
      <c r="K335" s="41"/>
      <c r="L335" s="41" t="s">
        <v>77</v>
      </c>
      <c r="M335" s="41">
        <v>100961</v>
      </c>
      <c r="N335" s="41" t="s">
        <v>1022</v>
      </c>
      <c r="O335" s="41" t="s">
        <v>111</v>
      </c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  <c r="AB335" s="41"/>
      <c r="AC335" s="41"/>
      <c r="AD335" s="41"/>
      <c r="AE335" s="41"/>
      <c r="AF335" s="41"/>
      <c r="AG335" s="42"/>
      <c r="AH335" s="41"/>
      <c r="AI335" s="41"/>
      <c r="AJ335" s="41"/>
      <c r="AK335" s="41"/>
      <c r="AL335" s="41"/>
      <c r="AM335" s="41"/>
      <c r="AN335" s="41"/>
      <c r="AO335" s="41"/>
      <c r="AP335" s="41"/>
      <c r="AQ335" s="41"/>
      <c r="AR335" s="41"/>
      <c r="AS335" s="41"/>
      <c r="AT335" s="41"/>
      <c r="AU335" s="41"/>
      <c r="AV335" s="41"/>
      <c r="AW335" s="41"/>
      <c r="AX335" s="41"/>
      <c r="AY335" s="41"/>
      <c r="AZ335" s="41"/>
      <c r="BA335" s="41"/>
      <c r="BB335" s="41"/>
      <c r="BC335" s="41"/>
      <c r="BD335" s="42"/>
      <c r="BE335" s="41"/>
      <c r="BF335" s="41"/>
      <c r="BG335" s="41"/>
      <c r="BH335" s="42"/>
      <c r="BI335" s="41"/>
      <c r="BJ335" s="41"/>
    </row>
    <row r="336" spans="1:62" s="38" customFormat="1" x14ac:dyDescent="0.25">
      <c r="A336" s="41"/>
      <c r="B336" s="41" t="s">
        <v>1023</v>
      </c>
      <c r="C336" s="41" t="s">
        <v>1024</v>
      </c>
      <c r="D336" s="41"/>
      <c r="E336" s="41" t="s">
        <v>17</v>
      </c>
      <c r="F336" s="41">
        <v>2025</v>
      </c>
      <c r="G336" s="41" t="s">
        <v>1346</v>
      </c>
      <c r="H336" s="41"/>
      <c r="I336" s="43"/>
      <c r="J336" s="41"/>
      <c r="K336" s="41"/>
      <c r="L336" s="41" t="s">
        <v>431</v>
      </c>
      <c r="M336" s="41">
        <v>55952</v>
      </c>
      <c r="N336" s="41" t="s">
        <v>1025</v>
      </c>
      <c r="O336" s="41" t="s">
        <v>111</v>
      </c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  <c r="AB336" s="41"/>
      <c r="AC336" s="41"/>
      <c r="AD336" s="41"/>
      <c r="AE336" s="41"/>
      <c r="AF336" s="41"/>
      <c r="AG336" s="42"/>
      <c r="AH336" s="41"/>
      <c r="AI336" s="41"/>
      <c r="AJ336" s="41"/>
      <c r="AK336" s="41"/>
      <c r="AL336" s="41"/>
      <c r="AM336" s="41"/>
      <c r="AN336" s="41"/>
      <c r="AO336" s="41"/>
      <c r="AP336" s="41"/>
      <c r="AQ336" s="41"/>
      <c r="AR336" s="41"/>
      <c r="AS336" s="41"/>
      <c r="AT336" s="41"/>
      <c r="AU336" s="41"/>
      <c r="AV336" s="41"/>
      <c r="AW336" s="41"/>
      <c r="AX336" s="41"/>
      <c r="AY336" s="41"/>
      <c r="AZ336" s="41"/>
      <c r="BA336" s="41"/>
      <c r="BB336" s="41"/>
      <c r="BC336" s="41"/>
      <c r="BD336" s="42"/>
      <c r="BE336" s="41"/>
      <c r="BF336" s="41"/>
      <c r="BG336" s="41"/>
      <c r="BH336" s="42"/>
      <c r="BI336" s="41"/>
      <c r="BJ336" s="41"/>
    </row>
    <row r="337" spans="1:62" s="38" customFormat="1" x14ac:dyDescent="0.25">
      <c r="A337" s="41"/>
      <c r="B337" s="41" t="s">
        <v>90</v>
      </c>
      <c r="C337" s="41" t="s">
        <v>1026</v>
      </c>
      <c r="D337" s="41"/>
      <c r="E337" s="41" t="s">
        <v>17</v>
      </c>
      <c r="F337" s="41">
        <v>2025</v>
      </c>
      <c r="G337" s="41" t="s">
        <v>1346</v>
      </c>
      <c r="H337" s="41"/>
      <c r="I337" s="43"/>
      <c r="J337" s="41"/>
      <c r="K337" s="41"/>
      <c r="L337" s="41" t="s">
        <v>77</v>
      </c>
      <c r="M337" s="41">
        <v>100914</v>
      </c>
      <c r="N337" s="41" t="s">
        <v>1027</v>
      </c>
      <c r="O337" s="41" t="s">
        <v>258</v>
      </c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  <c r="AB337" s="41"/>
      <c r="AC337" s="41"/>
      <c r="AD337" s="41"/>
      <c r="AE337" s="41"/>
      <c r="AF337" s="41"/>
      <c r="AG337" s="42"/>
      <c r="AH337" s="41"/>
      <c r="AI337" s="41"/>
      <c r="AJ337" s="41"/>
      <c r="AK337" s="41"/>
      <c r="AL337" s="41"/>
      <c r="AM337" s="41"/>
      <c r="AN337" s="41"/>
      <c r="AO337" s="41"/>
      <c r="AP337" s="41"/>
      <c r="AQ337" s="41"/>
      <c r="AR337" s="41"/>
      <c r="AS337" s="41"/>
      <c r="AT337" s="41"/>
      <c r="AU337" s="41"/>
      <c r="AV337" s="41"/>
      <c r="AW337" s="41"/>
      <c r="AX337" s="41"/>
      <c r="AY337" s="41"/>
      <c r="AZ337" s="41"/>
      <c r="BA337" s="41"/>
      <c r="BB337" s="41"/>
      <c r="BC337" s="41"/>
      <c r="BD337" s="42"/>
      <c r="BE337" s="41"/>
      <c r="BF337" s="41"/>
      <c r="BG337" s="41"/>
      <c r="BH337" s="42"/>
      <c r="BI337" s="41"/>
      <c r="BJ337" s="41"/>
    </row>
    <row r="338" spans="1:62" s="38" customFormat="1" x14ac:dyDescent="0.25">
      <c r="A338" s="41"/>
      <c r="B338" s="41" t="s">
        <v>1028</v>
      </c>
      <c r="C338" s="41" t="s">
        <v>1029</v>
      </c>
      <c r="D338" s="41"/>
      <c r="E338" s="41" t="s">
        <v>17</v>
      </c>
      <c r="F338" s="41">
        <v>2025</v>
      </c>
      <c r="G338" s="41" t="s">
        <v>1346</v>
      </c>
      <c r="H338" s="41"/>
      <c r="I338" s="43"/>
      <c r="J338" s="41"/>
      <c r="K338" s="41"/>
      <c r="L338" s="41" t="s">
        <v>1018</v>
      </c>
      <c r="M338" s="41">
        <v>35936</v>
      </c>
      <c r="N338" s="41" t="s">
        <v>1030</v>
      </c>
      <c r="O338" s="41" t="s">
        <v>266</v>
      </c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  <c r="AB338" s="41"/>
      <c r="AC338" s="41"/>
      <c r="AD338" s="41"/>
      <c r="AE338" s="41"/>
      <c r="AF338" s="41"/>
      <c r="AG338" s="42"/>
      <c r="AH338" s="41"/>
      <c r="AI338" s="41"/>
      <c r="AJ338" s="41"/>
      <c r="AK338" s="41"/>
      <c r="AL338" s="41"/>
      <c r="AM338" s="41"/>
      <c r="AN338" s="41"/>
      <c r="AO338" s="41"/>
      <c r="AP338" s="41"/>
      <c r="AQ338" s="41"/>
      <c r="AR338" s="41"/>
      <c r="AS338" s="41"/>
      <c r="AT338" s="41"/>
      <c r="AU338" s="41"/>
      <c r="AV338" s="41"/>
      <c r="AW338" s="41"/>
      <c r="AX338" s="41"/>
      <c r="AY338" s="41"/>
      <c r="AZ338" s="41"/>
      <c r="BA338" s="41"/>
      <c r="BB338" s="41"/>
      <c r="BC338" s="41"/>
      <c r="BD338" s="42"/>
      <c r="BE338" s="41"/>
      <c r="BF338" s="41"/>
      <c r="BG338" s="41"/>
      <c r="BH338" s="42"/>
      <c r="BI338" s="41"/>
      <c r="BJ338" s="41"/>
    </row>
    <row r="339" spans="1:62" s="38" customFormat="1" x14ac:dyDescent="0.25">
      <c r="A339" s="41"/>
      <c r="B339" s="41" t="s">
        <v>1031</v>
      </c>
      <c r="C339" s="41" t="s">
        <v>1032</v>
      </c>
      <c r="D339" s="41"/>
      <c r="E339" s="41" t="s">
        <v>17</v>
      </c>
      <c r="F339" s="41">
        <v>2025</v>
      </c>
      <c r="G339" s="41" t="s">
        <v>1346</v>
      </c>
      <c r="H339" s="41"/>
      <c r="I339" s="43"/>
      <c r="J339" s="41"/>
      <c r="K339" s="41"/>
      <c r="L339" s="41" t="s">
        <v>77</v>
      </c>
      <c r="M339" s="41">
        <v>100974</v>
      </c>
      <c r="N339" s="41" t="s">
        <v>1033</v>
      </c>
      <c r="O339" s="41" t="s">
        <v>272</v>
      </c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  <c r="AB339" s="41"/>
      <c r="AC339" s="41"/>
      <c r="AD339" s="41"/>
      <c r="AE339" s="41"/>
      <c r="AF339" s="41"/>
      <c r="AG339" s="42"/>
      <c r="AH339" s="41"/>
      <c r="AI339" s="41"/>
      <c r="AJ339" s="41"/>
      <c r="AK339" s="41"/>
      <c r="AL339" s="41"/>
      <c r="AM339" s="41"/>
      <c r="AN339" s="41"/>
      <c r="AO339" s="41"/>
      <c r="AP339" s="41"/>
      <c r="AQ339" s="41"/>
      <c r="AR339" s="41"/>
      <c r="AS339" s="41"/>
      <c r="AT339" s="41"/>
      <c r="AU339" s="41"/>
      <c r="AV339" s="41"/>
      <c r="AW339" s="41"/>
      <c r="AX339" s="41"/>
      <c r="AY339" s="41"/>
      <c r="AZ339" s="41"/>
      <c r="BA339" s="41"/>
      <c r="BB339" s="41"/>
      <c r="BC339" s="41"/>
      <c r="BD339" s="42"/>
      <c r="BE339" s="41"/>
      <c r="BF339" s="41"/>
      <c r="BG339" s="41"/>
      <c r="BH339" s="42"/>
      <c r="BI339" s="41"/>
      <c r="BJ339" s="41"/>
    </row>
    <row r="340" spans="1:62" s="38" customFormat="1" x14ac:dyDescent="0.25">
      <c r="A340" s="41"/>
      <c r="B340" s="41" t="s">
        <v>1034</v>
      </c>
      <c r="C340" s="41" t="s">
        <v>1035</v>
      </c>
      <c r="D340" s="41"/>
      <c r="E340" s="41" t="s">
        <v>17</v>
      </c>
      <c r="F340" s="41">
        <v>2025</v>
      </c>
      <c r="G340" s="41" t="s">
        <v>1346</v>
      </c>
      <c r="H340" s="41"/>
      <c r="I340" s="43"/>
      <c r="J340" s="41"/>
      <c r="K340" s="41"/>
      <c r="L340" s="41" t="s">
        <v>77</v>
      </c>
      <c r="M340" s="41">
        <v>500990</v>
      </c>
      <c r="N340" s="41" t="s">
        <v>1036</v>
      </c>
      <c r="O340" s="41" t="s">
        <v>99</v>
      </c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1"/>
      <c r="AC340" s="41"/>
      <c r="AD340" s="41"/>
      <c r="AE340" s="41"/>
      <c r="AF340" s="41"/>
      <c r="AG340" s="42"/>
      <c r="AH340" s="41"/>
      <c r="AI340" s="41"/>
      <c r="AJ340" s="41"/>
      <c r="AK340" s="41"/>
      <c r="AL340" s="41"/>
      <c r="AM340" s="41"/>
      <c r="AN340" s="41"/>
      <c r="AO340" s="41"/>
      <c r="AP340" s="41"/>
      <c r="AQ340" s="41"/>
      <c r="AR340" s="41"/>
      <c r="AS340" s="41"/>
      <c r="AT340" s="41"/>
      <c r="AU340" s="41"/>
      <c r="AV340" s="41"/>
      <c r="AW340" s="41"/>
      <c r="AX340" s="41"/>
      <c r="AY340" s="41"/>
      <c r="AZ340" s="41"/>
      <c r="BA340" s="41"/>
      <c r="BB340" s="41"/>
      <c r="BC340" s="41"/>
      <c r="BD340" s="42"/>
      <c r="BE340" s="41"/>
      <c r="BF340" s="41"/>
      <c r="BG340" s="41"/>
      <c r="BH340" s="42"/>
      <c r="BI340" s="41"/>
      <c r="BJ340" s="41"/>
    </row>
    <row r="341" spans="1:62" s="38" customFormat="1" x14ac:dyDescent="0.25">
      <c r="A341" s="41"/>
      <c r="B341" s="41" t="s">
        <v>1037</v>
      </c>
      <c r="C341" s="41" t="s">
        <v>1038</v>
      </c>
      <c r="D341" s="41"/>
      <c r="E341" s="41" t="s">
        <v>17</v>
      </c>
      <c r="F341" s="41">
        <v>2025</v>
      </c>
      <c r="G341" s="41" t="s">
        <v>1346</v>
      </c>
      <c r="H341" s="41"/>
      <c r="I341" s="43"/>
      <c r="J341" s="41"/>
      <c r="K341" s="41"/>
      <c r="L341" s="41" t="s">
        <v>299</v>
      </c>
      <c r="M341" s="41">
        <v>50916</v>
      </c>
      <c r="N341" s="41" t="s">
        <v>1039</v>
      </c>
      <c r="O341" s="41" t="s">
        <v>235</v>
      </c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  <c r="AB341" s="41"/>
      <c r="AC341" s="41"/>
      <c r="AD341" s="41"/>
      <c r="AE341" s="41"/>
      <c r="AF341" s="41"/>
      <c r="AG341" s="42"/>
      <c r="AH341" s="41"/>
      <c r="AI341" s="41"/>
      <c r="AJ341" s="41"/>
      <c r="AK341" s="41"/>
      <c r="AL341" s="41"/>
      <c r="AM341" s="41"/>
      <c r="AN341" s="41"/>
      <c r="AO341" s="41"/>
      <c r="AP341" s="41"/>
      <c r="AQ341" s="41"/>
      <c r="AR341" s="41"/>
      <c r="AS341" s="41"/>
      <c r="AT341" s="41"/>
      <c r="AU341" s="41"/>
      <c r="AV341" s="41"/>
      <c r="AW341" s="41"/>
      <c r="AX341" s="41"/>
      <c r="AY341" s="41"/>
      <c r="AZ341" s="41"/>
      <c r="BA341" s="41"/>
      <c r="BB341" s="41"/>
      <c r="BC341" s="41"/>
      <c r="BD341" s="42"/>
      <c r="BE341" s="41"/>
      <c r="BF341" s="41"/>
      <c r="BG341" s="41"/>
      <c r="BH341" s="42"/>
      <c r="BI341" s="41"/>
      <c r="BJ341" s="41"/>
    </row>
    <row r="342" spans="1:62" s="38" customFormat="1" x14ac:dyDescent="0.25">
      <c r="A342" s="41"/>
      <c r="B342" s="41" t="s">
        <v>1040</v>
      </c>
      <c r="C342" s="41" t="s">
        <v>1041</v>
      </c>
      <c r="D342" s="41"/>
      <c r="E342" s="41" t="s">
        <v>17</v>
      </c>
      <c r="F342" s="41">
        <v>2025</v>
      </c>
      <c r="G342" s="41" t="s">
        <v>1346</v>
      </c>
      <c r="H342" s="41"/>
      <c r="I342" s="43"/>
      <c r="J342" s="41"/>
      <c r="K342" s="41"/>
      <c r="L342" s="41" t="s">
        <v>77</v>
      </c>
      <c r="M342" s="41">
        <v>100997</v>
      </c>
      <c r="N342" s="41" t="s">
        <v>1042</v>
      </c>
      <c r="O342" s="41" t="s">
        <v>266</v>
      </c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  <c r="AB342" s="41"/>
      <c r="AC342" s="41"/>
      <c r="AD342" s="41"/>
      <c r="AE342" s="41"/>
      <c r="AF342" s="41"/>
      <c r="AG342" s="42"/>
      <c r="AH342" s="41"/>
      <c r="AI342" s="41"/>
      <c r="AJ342" s="41"/>
      <c r="AK342" s="41"/>
      <c r="AL342" s="41"/>
      <c r="AM342" s="41"/>
      <c r="AN342" s="41"/>
      <c r="AO342" s="41"/>
      <c r="AP342" s="41"/>
      <c r="AQ342" s="41"/>
      <c r="AR342" s="41"/>
      <c r="AS342" s="41"/>
      <c r="AT342" s="41"/>
      <c r="AU342" s="41"/>
      <c r="AV342" s="41"/>
      <c r="AW342" s="41"/>
      <c r="AX342" s="41"/>
      <c r="AY342" s="41"/>
      <c r="AZ342" s="41"/>
      <c r="BA342" s="41"/>
      <c r="BB342" s="41"/>
      <c r="BC342" s="41"/>
      <c r="BD342" s="42"/>
      <c r="BE342" s="41"/>
      <c r="BF342" s="41"/>
      <c r="BG342" s="41"/>
      <c r="BH342" s="42"/>
      <c r="BI342" s="41"/>
      <c r="BJ342" s="41"/>
    </row>
    <row r="343" spans="1:62" s="38" customFormat="1" x14ac:dyDescent="0.25">
      <c r="A343" s="41"/>
      <c r="B343" s="41" t="s">
        <v>90</v>
      </c>
      <c r="C343" s="41" t="s">
        <v>1043</v>
      </c>
      <c r="D343" s="41"/>
      <c r="E343" s="41" t="s">
        <v>17</v>
      </c>
      <c r="F343" s="41">
        <v>2025</v>
      </c>
      <c r="G343" s="41" t="s">
        <v>1346</v>
      </c>
      <c r="H343" s="41"/>
      <c r="I343" s="43"/>
      <c r="J343" s="41"/>
      <c r="K343" s="41"/>
      <c r="L343" s="41" t="s">
        <v>77</v>
      </c>
      <c r="M343" s="41">
        <v>50000</v>
      </c>
      <c r="N343" s="41" t="s">
        <v>1044</v>
      </c>
      <c r="O343" s="41" t="s">
        <v>79</v>
      </c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  <c r="AB343" s="41"/>
      <c r="AC343" s="41"/>
      <c r="AD343" s="41"/>
      <c r="AE343" s="41"/>
      <c r="AF343" s="41"/>
      <c r="AG343" s="42"/>
      <c r="AH343" s="41"/>
      <c r="AI343" s="41"/>
      <c r="AJ343" s="41"/>
      <c r="AK343" s="41"/>
      <c r="AL343" s="41"/>
      <c r="AM343" s="41"/>
      <c r="AN343" s="41"/>
      <c r="AO343" s="41"/>
      <c r="AP343" s="41"/>
      <c r="AQ343" s="41"/>
      <c r="AR343" s="41"/>
      <c r="AS343" s="41"/>
      <c r="AT343" s="41"/>
      <c r="AU343" s="41"/>
      <c r="AV343" s="41"/>
      <c r="AW343" s="41"/>
      <c r="AX343" s="41"/>
      <c r="AY343" s="41"/>
      <c r="AZ343" s="41"/>
      <c r="BA343" s="41"/>
      <c r="BB343" s="41"/>
      <c r="BC343" s="41"/>
      <c r="BD343" s="42"/>
      <c r="BE343" s="41"/>
      <c r="BF343" s="41"/>
      <c r="BG343" s="41"/>
      <c r="BH343" s="42"/>
      <c r="BI343" s="41"/>
      <c r="BJ343" s="41"/>
    </row>
    <row r="344" spans="1:62" s="38" customFormat="1" x14ac:dyDescent="0.25">
      <c r="A344" s="41"/>
      <c r="B344" s="41" t="s">
        <v>1045</v>
      </c>
      <c r="C344" s="41" t="s">
        <v>1046</v>
      </c>
      <c r="D344" s="41"/>
      <c r="E344" s="41" t="s">
        <v>17</v>
      </c>
      <c r="F344" s="41">
        <v>2025</v>
      </c>
      <c r="G344" s="41" t="s">
        <v>1346</v>
      </c>
      <c r="H344" s="41"/>
      <c r="I344" s="43"/>
      <c r="J344" s="41"/>
      <c r="K344" s="41"/>
      <c r="L344" s="41" t="s">
        <v>268</v>
      </c>
      <c r="M344" s="41">
        <v>100919</v>
      </c>
      <c r="N344" s="41" t="s">
        <v>1047</v>
      </c>
      <c r="O344" s="41" t="s">
        <v>258</v>
      </c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1"/>
      <c r="AC344" s="41"/>
      <c r="AD344" s="41"/>
      <c r="AE344" s="41"/>
      <c r="AF344" s="41"/>
      <c r="AG344" s="42"/>
      <c r="AH344" s="41"/>
      <c r="AI344" s="41"/>
      <c r="AJ344" s="41"/>
      <c r="AK344" s="41"/>
      <c r="AL344" s="41"/>
      <c r="AM344" s="41"/>
      <c r="AN344" s="41"/>
      <c r="AO344" s="41"/>
      <c r="AP344" s="41"/>
      <c r="AQ344" s="41"/>
      <c r="AR344" s="41"/>
      <c r="AS344" s="41"/>
      <c r="AT344" s="41"/>
      <c r="AU344" s="41"/>
      <c r="AV344" s="41"/>
      <c r="AW344" s="41"/>
      <c r="AX344" s="41"/>
      <c r="AY344" s="41"/>
      <c r="AZ344" s="41"/>
      <c r="BA344" s="41"/>
      <c r="BB344" s="41"/>
      <c r="BC344" s="41"/>
      <c r="BD344" s="42"/>
      <c r="BE344" s="41"/>
      <c r="BF344" s="41"/>
      <c r="BG344" s="41"/>
      <c r="BH344" s="42"/>
      <c r="BI344" s="41"/>
      <c r="BJ344" s="41"/>
    </row>
    <row r="345" spans="1:62" s="38" customFormat="1" x14ac:dyDescent="0.25">
      <c r="A345" s="41"/>
      <c r="B345" s="41" t="s">
        <v>1048</v>
      </c>
      <c r="C345" s="41" t="s">
        <v>1049</v>
      </c>
      <c r="D345" s="41"/>
      <c r="E345" s="41" t="s">
        <v>17</v>
      </c>
      <c r="F345" s="41">
        <v>2025</v>
      </c>
      <c r="G345" s="41" t="s">
        <v>1346</v>
      </c>
      <c r="H345" s="41"/>
      <c r="I345" s="43"/>
      <c r="J345" s="41"/>
      <c r="K345" s="41"/>
      <c r="L345" s="41" t="s">
        <v>77</v>
      </c>
      <c r="M345" s="41">
        <v>50917</v>
      </c>
      <c r="N345" s="41" t="s">
        <v>1050</v>
      </c>
      <c r="O345" s="41" t="s">
        <v>146</v>
      </c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  <c r="AB345" s="41"/>
      <c r="AC345" s="41"/>
      <c r="AD345" s="41"/>
      <c r="AE345" s="41"/>
      <c r="AF345" s="41"/>
      <c r="AG345" s="42"/>
      <c r="AH345" s="41"/>
      <c r="AI345" s="41"/>
      <c r="AJ345" s="41"/>
      <c r="AK345" s="41"/>
      <c r="AL345" s="41"/>
      <c r="AM345" s="41"/>
      <c r="AN345" s="41"/>
      <c r="AO345" s="41"/>
      <c r="AP345" s="41"/>
      <c r="AQ345" s="41"/>
      <c r="AR345" s="41"/>
      <c r="AS345" s="41"/>
      <c r="AT345" s="41"/>
      <c r="AU345" s="41"/>
      <c r="AV345" s="41"/>
      <c r="AW345" s="41"/>
      <c r="AX345" s="41"/>
      <c r="AY345" s="41"/>
      <c r="AZ345" s="41"/>
      <c r="BA345" s="41"/>
      <c r="BB345" s="41"/>
      <c r="BC345" s="41"/>
      <c r="BD345" s="42"/>
      <c r="BE345" s="41"/>
      <c r="BF345" s="41"/>
      <c r="BG345" s="41"/>
      <c r="BH345" s="42"/>
      <c r="BI345" s="41"/>
      <c r="BJ345" s="41"/>
    </row>
    <row r="346" spans="1:62" s="38" customFormat="1" x14ac:dyDescent="0.25">
      <c r="A346" s="41"/>
      <c r="B346" s="41" t="s">
        <v>1051</v>
      </c>
      <c r="C346" s="41" t="s">
        <v>1052</v>
      </c>
      <c r="D346" s="41"/>
      <c r="E346" s="41" t="s">
        <v>17</v>
      </c>
      <c r="F346" s="41">
        <v>2025</v>
      </c>
      <c r="G346" s="41" t="s">
        <v>1346</v>
      </c>
      <c r="H346" s="41"/>
      <c r="I346" s="43"/>
      <c r="J346" s="41"/>
      <c r="K346" s="41"/>
      <c r="L346" s="41" t="s">
        <v>77</v>
      </c>
      <c r="M346" s="41">
        <v>100971</v>
      </c>
      <c r="N346" s="41" t="s">
        <v>1053</v>
      </c>
      <c r="O346" s="41" t="s">
        <v>272</v>
      </c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  <c r="AB346" s="41"/>
      <c r="AC346" s="41"/>
      <c r="AD346" s="41"/>
      <c r="AE346" s="41"/>
      <c r="AF346" s="41"/>
      <c r="AG346" s="42"/>
      <c r="AH346" s="41"/>
      <c r="AI346" s="41"/>
      <c r="AJ346" s="41"/>
      <c r="AK346" s="41"/>
      <c r="AL346" s="41"/>
      <c r="AM346" s="41"/>
      <c r="AN346" s="41"/>
      <c r="AO346" s="41"/>
      <c r="AP346" s="41"/>
      <c r="AQ346" s="41"/>
      <c r="AR346" s="41"/>
      <c r="AS346" s="41"/>
      <c r="AT346" s="41"/>
      <c r="AU346" s="41"/>
      <c r="AV346" s="41"/>
      <c r="AW346" s="41"/>
      <c r="AX346" s="41"/>
      <c r="AY346" s="41"/>
      <c r="AZ346" s="41"/>
      <c r="BA346" s="41"/>
      <c r="BB346" s="41"/>
      <c r="BC346" s="41"/>
      <c r="BD346" s="42"/>
      <c r="BE346" s="41"/>
      <c r="BF346" s="41"/>
      <c r="BG346" s="41"/>
      <c r="BH346" s="42"/>
      <c r="BI346" s="41"/>
      <c r="BJ346" s="41"/>
    </row>
    <row r="347" spans="1:62" s="38" customFormat="1" x14ac:dyDescent="0.25">
      <c r="A347" s="41"/>
      <c r="B347" s="41" t="s">
        <v>1054</v>
      </c>
      <c r="C347" s="41" t="s">
        <v>1055</v>
      </c>
      <c r="D347" s="41"/>
      <c r="E347" s="41" t="s">
        <v>17</v>
      </c>
      <c r="F347" s="41">
        <v>2025</v>
      </c>
      <c r="G347" s="41" t="s">
        <v>1346</v>
      </c>
      <c r="H347" s="41"/>
      <c r="I347" s="43"/>
      <c r="J347" s="41"/>
      <c r="K347" s="41"/>
      <c r="L347" s="41" t="s">
        <v>77</v>
      </c>
      <c r="M347" s="41">
        <v>100931</v>
      </c>
      <c r="N347" s="41" t="s">
        <v>1056</v>
      </c>
      <c r="O347" s="41" t="s">
        <v>235</v>
      </c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  <c r="AB347" s="41"/>
      <c r="AC347" s="41"/>
      <c r="AD347" s="41"/>
      <c r="AE347" s="41"/>
      <c r="AF347" s="41"/>
      <c r="AG347" s="42"/>
      <c r="AH347" s="41"/>
      <c r="AI347" s="41"/>
      <c r="AJ347" s="41"/>
      <c r="AK347" s="41"/>
      <c r="AL347" s="41"/>
      <c r="AM347" s="41"/>
      <c r="AN347" s="41"/>
      <c r="AO347" s="41"/>
      <c r="AP347" s="41"/>
      <c r="AQ347" s="41"/>
      <c r="AR347" s="41"/>
      <c r="AS347" s="41"/>
      <c r="AT347" s="41"/>
      <c r="AU347" s="41"/>
      <c r="AV347" s="41"/>
      <c r="AW347" s="41"/>
      <c r="AX347" s="41"/>
      <c r="AY347" s="41"/>
      <c r="AZ347" s="41"/>
      <c r="BA347" s="41"/>
      <c r="BB347" s="41"/>
      <c r="BC347" s="41"/>
      <c r="BD347" s="42"/>
      <c r="BE347" s="41"/>
      <c r="BF347" s="41"/>
      <c r="BG347" s="41"/>
      <c r="BH347" s="42"/>
      <c r="BI347" s="41"/>
      <c r="BJ347" s="41"/>
    </row>
    <row r="348" spans="1:62" s="38" customFormat="1" x14ac:dyDescent="0.25">
      <c r="A348" s="41"/>
      <c r="B348" s="41" t="s">
        <v>1057</v>
      </c>
      <c r="C348" s="41" t="s">
        <v>1058</v>
      </c>
      <c r="D348" s="41"/>
      <c r="E348" s="41" t="s">
        <v>17</v>
      </c>
      <c r="F348" s="41">
        <v>2025</v>
      </c>
      <c r="G348" s="41" t="s">
        <v>1346</v>
      </c>
      <c r="H348" s="41"/>
      <c r="I348" s="43"/>
      <c r="J348" s="41"/>
      <c r="K348" s="41"/>
      <c r="L348" s="41" t="s">
        <v>73</v>
      </c>
      <c r="M348" s="41">
        <v>103449</v>
      </c>
      <c r="N348" s="41" t="s">
        <v>1059</v>
      </c>
      <c r="O348" s="41" t="s">
        <v>1060</v>
      </c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  <c r="AB348" s="41"/>
      <c r="AC348" s="41"/>
      <c r="AD348" s="41"/>
      <c r="AE348" s="41"/>
      <c r="AF348" s="41"/>
      <c r="AG348" s="42"/>
      <c r="AH348" s="41"/>
      <c r="AI348" s="41"/>
      <c r="AJ348" s="41"/>
      <c r="AK348" s="41"/>
      <c r="AL348" s="41"/>
      <c r="AM348" s="41"/>
      <c r="AN348" s="41"/>
      <c r="AO348" s="41"/>
      <c r="AP348" s="41"/>
      <c r="AQ348" s="41"/>
      <c r="AR348" s="41"/>
      <c r="AS348" s="41"/>
      <c r="AT348" s="41"/>
      <c r="AU348" s="41"/>
      <c r="AV348" s="41"/>
      <c r="AW348" s="41"/>
      <c r="AX348" s="41"/>
      <c r="AY348" s="41"/>
      <c r="AZ348" s="41"/>
      <c r="BA348" s="41"/>
      <c r="BB348" s="41"/>
      <c r="BC348" s="41"/>
      <c r="BD348" s="42"/>
      <c r="BE348" s="41"/>
      <c r="BF348" s="41"/>
      <c r="BG348" s="41"/>
      <c r="BH348" s="42"/>
      <c r="BI348" s="41"/>
      <c r="BJ348" s="41"/>
    </row>
    <row r="349" spans="1:62" s="38" customFormat="1" x14ac:dyDescent="0.25">
      <c r="A349" s="41"/>
      <c r="B349" s="41" t="s">
        <v>1061</v>
      </c>
      <c r="C349" s="41" t="s">
        <v>1062</v>
      </c>
      <c r="D349" s="41"/>
      <c r="E349" s="41" t="s">
        <v>17</v>
      </c>
      <c r="F349" s="41">
        <v>2025</v>
      </c>
      <c r="G349" s="41" t="s">
        <v>1346</v>
      </c>
      <c r="H349" s="41"/>
      <c r="I349" s="43"/>
      <c r="J349" s="41"/>
      <c r="K349" s="41"/>
      <c r="L349" s="41" t="s">
        <v>915</v>
      </c>
      <c r="M349" s="41">
        <v>100943</v>
      </c>
      <c r="N349" s="41" t="s">
        <v>1063</v>
      </c>
      <c r="O349" s="41" t="s">
        <v>266</v>
      </c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  <c r="AB349" s="41"/>
      <c r="AC349" s="41"/>
      <c r="AD349" s="41"/>
      <c r="AE349" s="41"/>
      <c r="AF349" s="41"/>
      <c r="AG349" s="42"/>
      <c r="AH349" s="41"/>
      <c r="AI349" s="41"/>
      <c r="AJ349" s="41"/>
      <c r="AK349" s="41"/>
      <c r="AL349" s="41"/>
      <c r="AM349" s="41"/>
      <c r="AN349" s="41"/>
      <c r="AO349" s="41"/>
      <c r="AP349" s="41"/>
      <c r="AQ349" s="41"/>
      <c r="AR349" s="41"/>
      <c r="AS349" s="41"/>
      <c r="AT349" s="41"/>
      <c r="AU349" s="41"/>
      <c r="AV349" s="41"/>
      <c r="AW349" s="41"/>
      <c r="AX349" s="41"/>
      <c r="AY349" s="41"/>
      <c r="AZ349" s="41"/>
      <c r="BA349" s="41"/>
      <c r="BB349" s="41"/>
      <c r="BC349" s="41"/>
      <c r="BD349" s="42"/>
      <c r="BE349" s="41"/>
      <c r="BF349" s="41"/>
      <c r="BG349" s="41"/>
      <c r="BH349" s="42"/>
      <c r="BI349" s="41"/>
      <c r="BJ349" s="41"/>
    </row>
    <row r="350" spans="1:62" s="38" customFormat="1" x14ac:dyDescent="0.25">
      <c r="A350" s="41"/>
      <c r="B350" s="41" t="s">
        <v>1064</v>
      </c>
      <c r="C350" s="41" t="s">
        <v>1065</v>
      </c>
      <c r="D350" s="41"/>
      <c r="E350" s="41" t="s">
        <v>17</v>
      </c>
      <c r="F350" s="41">
        <v>2025</v>
      </c>
      <c r="G350" s="41" t="s">
        <v>1346</v>
      </c>
      <c r="H350" s="41"/>
      <c r="I350" s="43"/>
      <c r="J350" s="41"/>
      <c r="K350" s="41"/>
      <c r="L350" s="41" t="s">
        <v>77</v>
      </c>
      <c r="M350" s="41">
        <v>100919</v>
      </c>
      <c r="N350" s="41" t="s">
        <v>1066</v>
      </c>
      <c r="O350" s="41" t="s">
        <v>235</v>
      </c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  <c r="AB350" s="41"/>
      <c r="AC350" s="41"/>
      <c r="AD350" s="41"/>
      <c r="AE350" s="41"/>
      <c r="AF350" s="41"/>
      <c r="AG350" s="42"/>
      <c r="AH350" s="41"/>
      <c r="AI350" s="41"/>
      <c r="AJ350" s="41"/>
      <c r="AK350" s="41"/>
      <c r="AL350" s="41"/>
      <c r="AM350" s="41"/>
      <c r="AN350" s="41"/>
      <c r="AO350" s="41"/>
      <c r="AP350" s="41"/>
      <c r="AQ350" s="41"/>
      <c r="AR350" s="41"/>
      <c r="AS350" s="41"/>
      <c r="AT350" s="41"/>
      <c r="AU350" s="41"/>
      <c r="AV350" s="41"/>
      <c r="AW350" s="41"/>
      <c r="AX350" s="41"/>
      <c r="AY350" s="41"/>
      <c r="AZ350" s="41"/>
      <c r="BA350" s="41"/>
      <c r="BB350" s="41"/>
      <c r="BC350" s="41"/>
      <c r="BD350" s="42"/>
      <c r="BE350" s="41"/>
      <c r="BF350" s="41"/>
      <c r="BG350" s="41"/>
      <c r="BH350" s="42"/>
      <c r="BI350" s="41"/>
      <c r="BJ350" s="41"/>
    </row>
    <row r="351" spans="1:62" s="38" customFormat="1" x14ac:dyDescent="0.25">
      <c r="A351" s="41"/>
      <c r="B351" s="41" t="s">
        <v>1068</v>
      </c>
      <c r="C351" s="41" t="s">
        <v>1069</v>
      </c>
      <c r="D351" s="41"/>
      <c r="E351" s="41" t="s">
        <v>17</v>
      </c>
      <c r="F351" s="41">
        <v>2025</v>
      </c>
      <c r="G351" s="41" t="s">
        <v>1346</v>
      </c>
      <c r="H351" s="41"/>
      <c r="I351" s="43"/>
      <c r="J351" s="41"/>
      <c r="K351" s="41"/>
      <c r="L351" s="41" t="s">
        <v>73</v>
      </c>
      <c r="M351" s="41">
        <v>100965</v>
      </c>
      <c r="N351" s="41" t="s">
        <v>1070</v>
      </c>
      <c r="O351" s="41" t="s">
        <v>272</v>
      </c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  <c r="AB351" s="41"/>
      <c r="AC351" s="41"/>
      <c r="AD351" s="41"/>
      <c r="AE351" s="41"/>
      <c r="AF351" s="41"/>
      <c r="AG351" s="42"/>
      <c r="AH351" s="41"/>
      <c r="AI351" s="41"/>
      <c r="AJ351" s="41"/>
      <c r="AK351" s="41"/>
      <c r="AL351" s="41"/>
      <c r="AM351" s="41"/>
      <c r="AN351" s="41"/>
      <c r="AO351" s="41"/>
      <c r="AP351" s="41"/>
      <c r="AQ351" s="41"/>
      <c r="AR351" s="41"/>
      <c r="AS351" s="41"/>
      <c r="AT351" s="41"/>
      <c r="AU351" s="41"/>
      <c r="AV351" s="41"/>
      <c r="AW351" s="41"/>
      <c r="AX351" s="41"/>
      <c r="AY351" s="41"/>
      <c r="AZ351" s="41"/>
      <c r="BA351" s="41"/>
      <c r="BB351" s="41"/>
      <c r="BC351" s="41"/>
      <c r="BD351" s="42"/>
      <c r="BE351" s="41"/>
      <c r="BF351" s="41"/>
      <c r="BG351" s="41"/>
      <c r="BH351" s="42"/>
      <c r="BI351" s="41"/>
      <c r="BJ351" s="41"/>
    </row>
    <row r="352" spans="1:62" s="38" customFormat="1" x14ac:dyDescent="0.25">
      <c r="A352" s="41"/>
      <c r="B352" s="41" t="s">
        <v>1071</v>
      </c>
      <c r="C352" s="41" t="s">
        <v>1072</v>
      </c>
      <c r="D352" s="41"/>
      <c r="E352" s="41" t="s">
        <v>17</v>
      </c>
      <c r="F352" s="41">
        <v>2025</v>
      </c>
      <c r="G352" s="41" t="s">
        <v>1346</v>
      </c>
      <c r="H352" s="41"/>
      <c r="I352" s="43"/>
      <c r="J352" s="41"/>
      <c r="K352" s="41"/>
      <c r="L352" s="41" t="s">
        <v>268</v>
      </c>
      <c r="M352" s="41">
        <v>100980</v>
      </c>
      <c r="N352" s="41" t="s">
        <v>1073</v>
      </c>
      <c r="O352" s="41" t="s">
        <v>272</v>
      </c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1"/>
      <c r="AC352" s="41"/>
      <c r="AD352" s="41"/>
      <c r="AE352" s="41"/>
      <c r="AF352" s="41"/>
      <c r="AG352" s="42"/>
      <c r="AH352" s="41"/>
      <c r="AI352" s="41"/>
      <c r="AJ352" s="41"/>
      <c r="AK352" s="41"/>
      <c r="AL352" s="41"/>
      <c r="AM352" s="41"/>
      <c r="AN352" s="41"/>
      <c r="AO352" s="41"/>
      <c r="AP352" s="41"/>
      <c r="AQ352" s="41"/>
      <c r="AR352" s="41"/>
      <c r="AS352" s="41"/>
      <c r="AT352" s="41"/>
      <c r="AU352" s="41"/>
      <c r="AV352" s="41"/>
      <c r="AW352" s="41"/>
      <c r="AX352" s="41"/>
      <c r="AY352" s="41"/>
      <c r="AZ352" s="41"/>
      <c r="BA352" s="41"/>
      <c r="BB352" s="41"/>
      <c r="BC352" s="41"/>
      <c r="BD352" s="42"/>
      <c r="BE352" s="41"/>
      <c r="BF352" s="41"/>
      <c r="BG352" s="41"/>
      <c r="BH352" s="42"/>
      <c r="BI352" s="41"/>
      <c r="BJ352" s="41"/>
    </row>
    <row r="353" spans="1:62" s="38" customFormat="1" x14ac:dyDescent="0.25">
      <c r="A353" s="41"/>
      <c r="B353" s="41" t="s">
        <v>1074</v>
      </c>
      <c r="C353" s="41" t="s">
        <v>1075</v>
      </c>
      <c r="D353" s="41"/>
      <c r="E353" s="41" t="s">
        <v>17</v>
      </c>
      <c r="F353" s="41">
        <v>2025</v>
      </c>
      <c r="G353" s="41" t="s">
        <v>1346</v>
      </c>
      <c r="H353" s="41"/>
      <c r="I353" s="43"/>
      <c r="J353" s="41"/>
      <c r="K353" s="41"/>
      <c r="L353" s="41" t="s">
        <v>73</v>
      </c>
      <c r="M353" s="41">
        <v>100941</v>
      </c>
      <c r="N353" s="41" t="s">
        <v>1076</v>
      </c>
      <c r="O353" s="41" t="s">
        <v>272</v>
      </c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  <c r="AB353" s="41"/>
      <c r="AC353" s="41"/>
      <c r="AD353" s="41"/>
      <c r="AE353" s="41"/>
      <c r="AF353" s="41"/>
      <c r="AG353" s="42"/>
      <c r="AH353" s="41"/>
      <c r="AI353" s="41"/>
      <c r="AJ353" s="41"/>
      <c r="AK353" s="41"/>
      <c r="AL353" s="41"/>
      <c r="AM353" s="41"/>
      <c r="AN353" s="41"/>
      <c r="AO353" s="41"/>
      <c r="AP353" s="41"/>
      <c r="AQ353" s="41"/>
      <c r="AR353" s="41"/>
      <c r="AS353" s="41"/>
      <c r="AT353" s="41"/>
      <c r="AU353" s="41"/>
      <c r="AV353" s="41"/>
      <c r="AW353" s="41"/>
      <c r="AX353" s="41"/>
      <c r="AY353" s="41"/>
      <c r="AZ353" s="41"/>
      <c r="BA353" s="41"/>
      <c r="BB353" s="41"/>
      <c r="BC353" s="41"/>
      <c r="BD353" s="42"/>
      <c r="BE353" s="41"/>
      <c r="BF353" s="41"/>
      <c r="BG353" s="41"/>
      <c r="BH353" s="42"/>
      <c r="BI353" s="41"/>
      <c r="BJ353" s="41"/>
    </row>
    <row r="354" spans="1:62" s="38" customFormat="1" x14ac:dyDescent="0.25">
      <c r="A354" s="41"/>
      <c r="B354" s="41" t="s">
        <v>1077</v>
      </c>
      <c r="C354" s="41" t="s">
        <v>1078</v>
      </c>
      <c r="D354" s="41"/>
      <c r="E354" s="41" t="s">
        <v>17</v>
      </c>
      <c r="F354" s="41">
        <v>2025</v>
      </c>
      <c r="G354" s="41" t="s">
        <v>1346</v>
      </c>
      <c r="H354" s="41"/>
      <c r="I354" s="43"/>
      <c r="J354" s="41"/>
      <c r="K354" s="41"/>
      <c r="L354" s="41" t="s">
        <v>268</v>
      </c>
      <c r="M354" s="41">
        <v>100934</v>
      </c>
      <c r="N354" s="41" t="s">
        <v>1079</v>
      </c>
      <c r="O354" s="41" t="s">
        <v>99</v>
      </c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  <c r="AB354" s="41"/>
      <c r="AC354" s="41"/>
      <c r="AD354" s="41"/>
      <c r="AE354" s="41"/>
      <c r="AF354" s="41"/>
      <c r="AG354" s="42"/>
      <c r="AH354" s="41"/>
      <c r="AI354" s="41"/>
      <c r="AJ354" s="41"/>
      <c r="AK354" s="41"/>
      <c r="AL354" s="41"/>
      <c r="AM354" s="41"/>
      <c r="AN354" s="41"/>
      <c r="AO354" s="41"/>
      <c r="AP354" s="41"/>
      <c r="AQ354" s="41"/>
      <c r="AR354" s="41"/>
      <c r="AS354" s="41"/>
      <c r="AT354" s="41"/>
      <c r="AU354" s="41"/>
      <c r="AV354" s="41"/>
      <c r="AW354" s="41"/>
      <c r="AX354" s="41"/>
      <c r="AY354" s="41"/>
      <c r="AZ354" s="41"/>
      <c r="BA354" s="41"/>
      <c r="BB354" s="41"/>
      <c r="BC354" s="41"/>
      <c r="BD354" s="42"/>
      <c r="BE354" s="41"/>
      <c r="BF354" s="41"/>
      <c r="BG354" s="41"/>
      <c r="BH354" s="42"/>
      <c r="BI354" s="41"/>
      <c r="BJ354" s="41"/>
    </row>
    <row r="355" spans="1:62" s="38" customFormat="1" x14ac:dyDescent="0.25">
      <c r="A355" s="41"/>
      <c r="B355" s="41" t="s">
        <v>1080</v>
      </c>
      <c r="C355" s="41" t="s">
        <v>1081</v>
      </c>
      <c r="D355" s="41"/>
      <c r="E355" s="41" t="s">
        <v>17</v>
      </c>
      <c r="F355" s="41">
        <v>2025</v>
      </c>
      <c r="G355" s="41" t="s">
        <v>1346</v>
      </c>
      <c r="H355" s="41"/>
      <c r="I355" s="43"/>
      <c r="J355" s="41"/>
      <c r="K355" s="41"/>
      <c r="L355" s="41" t="s">
        <v>299</v>
      </c>
      <c r="M355" s="41">
        <v>250953</v>
      </c>
      <c r="N355" s="41" t="s">
        <v>1082</v>
      </c>
      <c r="O355" s="41" t="s">
        <v>272</v>
      </c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  <c r="AB355" s="41"/>
      <c r="AC355" s="41"/>
      <c r="AD355" s="41"/>
      <c r="AE355" s="41"/>
      <c r="AF355" s="41"/>
      <c r="AG355" s="42"/>
      <c r="AH355" s="41"/>
      <c r="AI355" s="41"/>
      <c r="AJ355" s="41"/>
      <c r="AK355" s="41"/>
      <c r="AL355" s="41"/>
      <c r="AM355" s="41"/>
      <c r="AN355" s="41"/>
      <c r="AO355" s="41"/>
      <c r="AP355" s="41"/>
      <c r="AQ355" s="41"/>
      <c r="AR355" s="41"/>
      <c r="AS355" s="41"/>
      <c r="AT355" s="41"/>
      <c r="AU355" s="41"/>
      <c r="AV355" s="41"/>
      <c r="AW355" s="41"/>
      <c r="AX355" s="41"/>
      <c r="AY355" s="41"/>
      <c r="AZ355" s="41"/>
      <c r="BA355" s="41"/>
      <c r="BB355" s="41"/>
      <c r="BC355" s="41"/>
      <c r="BD355" s="42"/>
      <c r="BE355" s="41"/>
      <c r="BF355" s="41"/>
      <c r="BG355" s="41"/>
      <c r="BH355" s="42"/>
      <c r="BI355" s="41"/>
      <c r="BJ355" s="41"/>
    </row>
    <row r="356" spans="1:62" s="38" customFormat="1" x14ac:dyDescent="0.25">
      <c r="A356" s="41"/>
      <c r="B356" s="41" t="s">
        <v>376</v>
      </c>
      <c r="C356" s="41" t="s">
        <v>1083</v>
      </c>
      <c r="D356" s="41"/>
      <c r="E356" s="41" t="s">
        <v>17</v>
      </c>
      <c r="F356" s="41">
        <v>2025</v>
      </c>
      <c r="G356" s="41" t="s">
        <v>1346</v>
      </c>
      <c r="H356" s="41"/>
      <c r="I356" s="43"/>
      <c r="J356" s="41"/>
      <c r="K356" s="41"/>
      <c r="L356" s="41" t="s">
        <v>77</v>
      </c>
      <c r="M356" s="41">
        <v>100914</v>
      </c>
      <c r="N356" s="41" t="s">
        <v>1084</v>
      </c>
      <c r="O356" s="41" t="s">
        <v>67</v>
      </c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  <c r="AB356" s="41"/>
      <c r="AC356" s="41"/>
      <c r="AD356" s="41"/>
      <c r="AE356" s="41"/>
      <c r="AF356" s="41"/>
      <c r="AG356" s="42"/>
      <c r="AH356" s="41"/>
      <c r="AI356" s="41"/>
      <c r="AJ356" s="41"/>
      <c r="AK356" s="41"/>
      <c r="AL356" s="41"/>
      <c r="AM356" s="41"/>
      <c r="AN356" s="41"/>
      <c r="AO356" s="41"/>
      <c r="AP356" s="41"/>
      <c r="AQ356" s="41"/>
      <c r="AR356" s="41"/>
      <c r="AS356" s="41"/>
      <c r="AT356" s="41"/>
      <c r="AU356" s="41"/>
      <c r="AV356" s="41"/>
      <c r="AW356" s="41"/>
      <c r="AX356" s="41"/>
      <c r="AY356" s="41"/>
      <c r="AZ356" s="41"/>
      <c r="BA356" s="41"/>
      <c r="BB356" s="41"/>
      <c r="BC356" s="41"/>
      <c r="BD356" s="42"/>
      <c r="BE356" s="41"/>
      <c r="BF356" s="41"/>
      <c r="BG356" s="41"/>
      <c r="BH356" s="42"/>
      <c r="BI356" s="41"/>
      <c r="BJ356" s="41"/>
    </row>
    <row r="357" spans="1:62" s="38" customFormat="1" x14ac:dyDescent="0.25">
      <c r="A357" s="41"/>
      <c r="B357" s="41" t="s">
        <v>1085</v>
      </c>
      <c r="C357" s="41" t="s">
        <v>1086</v>
      </c>
      <c r="D357" s="41"/>
      <c r="E357" s="41" t="s">
        <v>17</v>
      </c>
      <c r="F357" s="41">
        <v>2025</v>
      </c>
      <c r="G357" s="41" t="s">
        <v>1346</v>
      </c>
      <c r="H357" s="41"/>
      <c r="I357" s="43"/>
      <c r="J357" s="41"/>
      <c r="K357" s="41"/>
      <c r="L357" s="41" t="s">
        <v>268</v>
      </c>
      <c r="M357" s="41">
        <v>100989</v>
      </c>
      <c r="N357" s="41" t="s">
        <v>1087</v>
      </c>
      <c r="O357" s="41" t="s">
        <v>272</v>
      </c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  <c r="AB357" s="41"/>
      <c r="AC357" s="41"/>
      <c r="AD357" s="41"/>
      <c r="AE357" s="41"/>
      <c r="AF357" s="41"/>
      <c r="AG357" s="42"/>
      <c r="AH357" s="41"/>
      <c r="AI357" s="41"/>
      <c r="AJ357" s="41"/>
      <c r="AK357" s="41"/>
      <c r="AL357" s="41"/>
      <c r="AM357" s="41"/>
      <c r="AN357" s="41"/>
      <c r="AO357" s="41"/>
      <c r="AP357" s="41"/>
      <c r="AQ357" s="41"/>
      <c r="AR357" s="41"/>
      <c r="AS357" s="41"/>
      <c r="AT357" s="41"/>
      <c r="AU357" s="41"/>
      <c r="AV357" s="41"/>
      <c r="AW357" s="41"/>
      <c r="AX357" s="41"/>
      <c r="AY357" s="41"/>
      <c r="AZ357" s="41"/>
      <c r="BA357" s="41"/>
      <c r="BB357" s="41"/>
      <c r="BC357" s="41"/>
      <c r="BD357" s="42"/>
      <c r="BE357" s="41"/>
      <c r="BF357" s="41"/>
      <c r="BG357" s="41"/>
      <c r="BH357" s="42"/>
      <c r="BI357" s="41"/>
      <c r="BJ357" s="41"/>
    </row>
    <row r="358" spans="1:62" s="38" customFormat="1" x14ac:dyDescent="0.25">
      <c r="A358" s="41"/>
      <c r="B358" s="41" t="s">
        <v>1088</v>
      </c>
      <c r="C358" s="41" t="s">
        <v>1089</v>
      </c>
      <c r="D358" s="41"/>
      <c r="E358" s="41" t="s">
        <v>17</v>
      </c>
      <c r="F358" s="41">
        <v>2025</v>
      </c>
      <c r="G358" s="41" t="s">
        <v>1346</v>
      </c>
      <c r="H358" s="41"/>
      <c r="I358" s="43"/>
      <c r="J358" s="41"/>
      <c r="K358" s="41"/>
      <c r="L358" s="41" t="s">
        <v>77</v>
      </c>
      <c r="M358" s="41">
        <v>100904</v>
      </c>
      <c r="N358" s="41" t="s">
        <v>1090</v>
      </c>
      <c r="O358" s="41" t="s">
        <v>67</v>
      </c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  <c r="AB358" s="41"/>
      <c r="AC358" s="41"/>
      <c r="AD358" s="41"/>
      <c r="AE358" s="41"/>
      <c r="AF358" s="41"/>
      <c r="AG358" s="42"/>
      <c r="AH358" s="41"/>
      <c r="AI358" s="41"/>
      <c r="AJ358" s="41"/>
      <c r="AK358" s="41"/>
      <c r="AL358" s="41"/>
      <c r="AM358" s="41"/>
      <c r="AN358" s="41"/>
      <c r="AO358" s="41"/>
      <c r="AP358" s="41"/>
      <c r="AQ358" s="41"/>
      <c r="AR358" s="41"/>
      <c r="AS358" s="41"/>
      <c r="AT358" s="41"/>
      <c r="AU358" s="41"/>
      <c r="AV358" s="41"/>
      <c r="AW358" s="41"/>
      <c r="AX358" s="41"/>
      <c r="AY358" s="41"/>
      <c r="AZ358" s="41"/>
      <c r="BA358" s="41"/>
      <c r="BB358" s="41"/>
      <c r="BC358" s="41"/>
      <c r="BD358" s="42"/>
      <c r="BE358" s="41"/>
      <c r="BF358" s="41"/>
      <c r="BG358" s="41"/>
      <c r="BH358" s="42"/>
      <c r="BI358" s="41"/>
      <c r="BJ358" s="41"/>
    </row>
    <row r="359" spans="1:62" s="38" customFormat="1" x14ac:dyDescent="0.25">
      <c r="A359" s="41"/>
      <c r="B359" s="41" t="s">
        <v>1091</v>
      </c>
      <c r="C359" s="41" t="s">
        <v>1092</v>
      </c>
      <c r="D359" s="41"/>
      <c r="E359" s="41" t="s">
        <v>17</v>
      </c>
      <c r="F359" s="41">
        <v>2025</v>
      </c>
      <c r="G359" s="41" t="s">
        <v>1346</v>
      </c>
      <c r="H359" s="41"/>
      <c r="I359" s="43"/>
      <c r="J359" s="41"/>
      <c r="K359" s="41"/>
      <c r="L359" s="41" t="s">
        <v>73</v>
      </c>
      <c r="M359" s="41">
        <v>100000</v>
      </c>
      <c r="N359" s="41" t="s">
        <v>1093</v>
      </c>
      <c r="O359" s="41" t="s">
        <v>67</v>
      </c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  <c r="AB359" s="41"/>
      <c r="AC359" s="41"/>
      <c r="AD359" s="41"/>
      <c r="AE359" s="41"/>
      <c r="AF359" s="41"/>
      <c r="AG359" s="42"/>
      <c r="AH359" s="41"/>
      <c r="AI359" s="41"/>
      <c r="AJ359" s="41"/>
      <c r="AK359" s="41"/>
      <c r="AL359" s="41"/>
      <c r="AM359" s="41"/>
      <c r="AN359" s="41"/>
      <c r="AO359" s="41"/>
      <c r="AP359" s="41"/>
      <c r="AQ359" s="41"/>
      <c r="AR359" s="41"/>
      <c r="AS359" s="41"/>
      <c r="AT359" s="41"/>
      <c r="AU359" s="41"/>
      <c r="AV359" s="41"/>
      <c r="AW359" s="41"/>
      <c r="AX359" s="41"/>
      <c r="AY359" s="41"/>
      <c r="AZ359" s="41"/>
      <c r="BA359" s="41"/>
      <c r="BB359" s="41"/>
      <c r="BC359" s="41"/>
      <c r="BD359" s="42"/>
      <c r="BE359" s="41"/>
      <c r="BF359" s="41"/>
      <c r="BG359" s="41"/>
      <c r="BH359" s="42"/>
      <c r="BI359" s="41"/>
      <c r="BJ359" s="41"/>
    </row>
    <row r="360" spans="1:62" s="38" customFormat="1" x14ac:dyDescent="0.25">
      <c r="A360" s="41"/>
      <c r="B360" s="41" t="s">
        <v>1094</v>
      </c>
      <c r="C360" s="41" t="s">
        <v>1095</v>
      </c>
      <c r="D360" s="41"/>
      <c r="E360" s="41" t="s">
        <v>17</v>
      </c>
      <c r="F360" s="41">
        <v>2025</v>
      </c>
      <c r="G360" s="41" t="s">
        <v>1346</v>
      </c>
      <c r="H360" s="41"/>
      <c r="I360" s="43"/>
      <c r="J360" s="41"/>
      <c r="K360" s="41"/>
      <c r="L360" s="41" t="s">
        <v>268</v>
      </c>
      <c r="M360" s="41">
        <v>50000</v>
      </c>
      <c r="N360" s="41" t="s">
        <v>1096</v>
      </c>
      <c r="O360" s="41" t="s">
        <v>67</v>
      </c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  <c r="AB360" s="41"/>
      <c r="AC360" s="41"/>
      <c r="AD360" s="41"/>
      <c r="AE360" s="41"/>
      <c r="AF360" s="41"/>
      <c r="AG360" s="42"/>
      <c r="AH360" s="41"/>
      <c r="AI360" s="41"/>
      <c r="AJ360" s="41"/>
      <c r="AK360" s="41"/>
      <c r="AL360" s="41"/>
      <c r="AM360" s="41"/>
      <c r="AN360" s="41"/>
      <c r="AO360" s="41"/>
      <c r="AP360" s="41"/>
      <c r="AQ360" s="41"/>
      <c r="AR360" s="41"/>
      <c r="AS360" s="41"/>
      <c r="AT360" s="41"/>
      <c r="AU360" s="41"/>
      <c r="AV360" s="41"/>
      <c r="AW360" s="41"/>
      <c r="AX360" s="41"/>
      <c r="AY360" s="41"/>
      <c r="AZ360" s="41"/>
      <c r="BA360" s="41"/>
      <c r="BB360" s="41"/>
      <c r="BC360" s="41"/>
      <c r="BD360" s="42"/>
      <c r="BE360" s="41"/>
      <c r="BF360" s="41"/>
      <c r="BG360" s="41"/>
      <c r="BH360" s="42"/>
      <c r="BI360" s="41"/>
      <c r="BJ360" s="41"/>
    </row>
    <row r="361" spans="1:62" s="38" customFormat="1" x14ac:dyDescent="0.25">
      <c r="A361" s="41"/>
      <c r="B361" s="41" t="s">
        <v>1097</v>
      </c>
      <c r="C361" s="41" t="s">
        <v>1098</v>
      </c>
      <c r="D361" s="41"/>
      <c r="E361" s="41" t="s">
        <v>17</v>
      </c>
      <c r="F361" s="41">
        <v>2025</v>
      </c>
      <c r="G361" s="41" t="s">
        <v>1346</v>
      </c>
      <c r="H361" s="41"/>
      <c r="I361" s="43"/>
      <c r="J361" s="41"/>
      <c r="K361" s="41"/>
      <c r="L361" s="41" t="s">
        <v>77</v>
      </c>
      <c r="M361" s="41">
        <v>100000</v>
      </c>
      <c r="N361" s="41" t="s">
        <v>1099</v>
      </c>
      <c r="O361" s="41" t="s">
        <v>319</v>
      </c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  <c r="AB361" s="41"/>
      <c r="AC361" s="41"/>
      <c r="AD361" s="41"/>
      <c r="AE361" s="41"/>
      <c r="AF361" s="41"/>
      <c r="AG361" s="42"/>
      <c r="AH361" s="41"/>
      <c r="AI361" s="41"/>
      <c r="AJ361" s="41"/>
      <c r="AK361" s="41"/>
      <c r="AL361" s="41"/>
      <c r="AM361" s="41"/>
      <c r="AN361" s="41"/>
      <c r="AO361" s="41"/>
      <c r="AP361" s="41"/>
      <c r="AQ361" s="41"/>
      <c r="AR361" s="41"/>
      <c r="AS361" s="41"/>
      <c r="AT361" s="41"/>
      <c r="AU361" s="41"/>
      <c r="AV361" s="41"/>
      <c r="AW361" s="41"/>
      <c r="AX361" s="41"/>
      <c r="AY361" s="41"/>
      <c r="AZ361" s="41"/>
      <c r="BA361" s="41"/>
      <c r="BB361" s="41"/>
      <c r="BC361" s="41"/>
      <c r="BD361" s="42"/>
      <c r="BE361" s="41"/>
      <c r="BF361" s="41"/>
      <c r="BG361" s="41"/>
      <c r="BH361" s="42"/>
      <c r="BI361" s="41"/>
      <c r="BJ361" s="41"/>
    </row>
    <row r="362" spans="1:62" s="38" customFormat="1" x14ac:dyDescent="0.25">
      <c r="A362" s="41"/>
      <c r="B362" s="41" t="s">
        <v>90</v>
      </c>
      <c r="C362" s="41" t="s">
        <v>1100</v>
      </c>
      <c r="D362" s="41"/>
      <c r="E362" s="41" t="s">
        <v>17</v>
      </c>
      <c r="F362" s="41">
        <v>2025</v>
      </c>
      <c r="G362" s="41" t="s">
        <v>1346</v>
      </c>
      <c r="H362" s="41"/>
      <c r="I362" s="43"/>
      <c r="J362" s="41"/>
      <c r="K362" s="41"/>
      <c r="L362" s="41" t="s">
        <v>77</v>
      </c>
      <c r="M362" s="41">
        <v>50903</v>
      </c>
      <c r="N362" s="41" t="s">
        <v>1101</v>
      </c>
      <c r="O362" s="41" t="s">
        <v>111</v>
      </c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  <c r="AB362" s="41"/>
      <c r="AC362" s="41"/>
      <c r="AD362" s="41"/>
      <c r="AE362" s="41"/>
      <c r="AF362" s="41"/>
      <c r="AG362" s="42"/>
      <c r="AH362" s="41"/>
      <c r="AI362" s="41"/>
      <c r="AJ362" s="41"/>
      <c r="AK362" s="41"/>
      <c r="AL362" s="41"/>
      <c r="AM362" s="41"/>
      <c r="AN362" s="41"/>
      <c r="AO362" s="41"/>
      <c r="AP362" s="41"/>
      <c r="AQ362" s="41"/>
      <c r="AR362" s="41"/>
      <c r="AS362" s="41"/>
      <c r="AT362" s="41"/>
      <c r="AU362" s="41"/>
      <c r="AV362" s="41"/>
      <c r="AW362" s="41"/>
      <c r="AX362" s="41"/>
      <c r="AY362" s="41"/>
      <c r="AZ362" s="41"/>
      <c r="BA362" s="41"/>
      <c r="BB362" s="41"/>
      <c r="BC362" s="41"/>
      <c r="BD362" s="42"/>
      <c r="BE362" s="41"/>
      <c r="BF362" s="41"/>
      <c r="BG362" s="41"/>
      <c r="BH362" s="42"/>
      <c r="BI362" s="41"/>
      <c r="BJ362" s="41"/>
    </row>
    <row r="363" spans="1:62" s="38" customFormat="1" x14ac:dyDescent="0.25">
      <c r="A363" s="41"/>
      <c r="B363" s="41" t="s">
        <v>1102</v>
      </c>
      <c r="C363" s="41" t="s">
        <v>1103</v>
      </c>
      <c r="D363" s="41"/>
      <c r="E363" s="41" t="s">
        <v>17</v>
      </c>
      <c r="F363" s="41">
        <v>2025</v>
      </c>
      <c r="G363" s="41" t="s">
        <v>1346</v>
      </c>
      <c r="H363" s="41"/>
      <c r="I363" s="43"/>
      <c r="J363" s="41"/>
      <c r="K363" s="41"/>
      <c r="L363" s="41" t="s">
        <v>77</v>
      </c>
      <c r="M363" s="41">
        <v>50954</v>
      </c>
      <c r="N363" s="41" t="s">
        <v>1104</v>
      </c>
      <c r="O363" s="41" t="s">
        <v>146</v>
      </c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  <c r="AB363" s="41"/>
      <c r="AC363" s="41"/>
      <c r="AD363" s="41"/>
      <c r="AE363" s="41"/>
      <c r="AF363" s="41"/>
      <c r="AG363" s="42"/>
      <c r="AH363" s="41"/>
      <c r="AI363" s="41"/>
      <c r="AJ363" s="41"/>
      <c r="AK363" s="41"/>
      <c r="AL363" s="41"/>
      <c r="AM363" s="41"/>
      <c r="AN363" s="41"/>
      <c r="AO363" s="41"/>
      <c r="AP363" s="41"/>
      <c r="AQ363" s="41"/>
      <c r="AR363" s="41"/>
      <c r="AS363" s="41"/>
      <c r="AT363" s="41"/>
      <c r="AU363" s="41"/>
      <c r="AV363" s="41"/>
      <c r="AW363" s="41"/>
      <c r="AX363" s="41"/>
      <c r="AY363" s="41"/>
      <c r="AZ363" s="41"/>
      <c r="BA363" s="41"/>
      <c r="BB363" s="41"/>
      <c r="BC363" s="41"/>
      <c r="BD363" s="42"/>
      <c r="BE363" s="41"/>
      <c r="BF363" s="41"/>
      <c r="BG363" s="41"/>
      <c r="BH363" s="42"/>
      <c r="BI363" s="41"/>
      <c r="BJ363" s="41"/>
    </row>
    <row r="364" spans="1:62" s="38" customFormat="1" x14ac:dyDescent="0.25">
      <c r="A364" s="41"/>
      <c r="B364" s="41" t="s">
        <v>1105</v>
      </c>
      <c r="C364" s="41" t="s">
        <v>1106</v>
      </c>
      <c r="D364" s="41"/>
      <c r="E364" s="41" t="s">
        <v>17</v>
      </c>
      <c r="F364" s="41">
        <v>2025</v>
      </c>
      <c r="G364" s="41" t="s">
        <v>1346</v>
      </c>
      <c r="H364" s="41"/>
      <c r="I364" s="43"/>
      <c r="J364" s="41"/>
      <c r="K364" s="41"/>
      <c r="L364" s="41" t="s">
        <v>73</v>
      </c>
      <c r="M364" s="41">
        <v>200000</v>
      </c>
      <c r="N364" s="41" t="s">
        <v>1107</v>
      </c>
      <c r="O364" s="41" t="s">
        <v>258</v>
      </c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  <c r="AB364" s="41"/>
      <c r="AC364" s="41"/>
      <c r="AD364" s="41"/>
      <c r="AE364" s="41"/>
      <c r="AF364" s="41"/>
      <c r="AG364" s="42"/>
      <c r="AH364" s="41"/>
      <c r="AI364" s="41"/>
      <c r="AJ364" s="41"/>
      <c r="AK364" s="41"/>
      <c r="AL364" s="41"/>
      <c r="AM364" s="41"/>
      <c r="AN364" s="41"/>
      <c r="AO364" s="41"/>
      <c r="AP364" s="41"/>
      <c r="AQ364" s="41"/>
      <c r="AR364" s="41"/>
      <c r="AS364" s="41"/>
      <c r="AT364" s="41"/>
      <c r="AU364" s="41"/>
      <c r="AV364" s="41"/>
      <c r="AW364" s="41"/>
      <c r="AX364" s="41"/>
      <c r="AY364" s="41"/>
      <c r="AZ364" s="41"/>
      <c r="BA364" s="41"/>
      <c r="BB364" s="41"/>
      <c r="BC364" s="41"/>
      <c r="BD364" s="42"/>
      <c r="BE364" s="41"/>
      <c r="BF364" s="41"/>
      <c r="BG364" s="41"/>
      <c r="BH364" s="42"/>
      <c r="BI364" s="41"/>
      <c r="BJ364" s="41"/>
    </row>
    <row r="365" spans="1:62" s="38" customFormat="1" x14ac:dyDescent="0.25">
      <c r="A365" s="41"/>
      <c r="B365" s="41" t="s">
        <v>1108</v>
      </c>
      <c r="C365" s="41" t="s">
        <v>1109</v>
      </c>
      <c r="D365" s="41"/>
      <c r="E365" s="41" t="s">
        <v>17</v>
      </c>
      <c r="F365" s="41">
        <v>2025</v>
      </c>
      <c r="G365" s="41" t="s">
        <v>1346</v>
      </c>
      <c r="H365" s="41"/>
      <c r="I365" s="43"/>
      <c r="J365" s="41"/>
      <c r="K365" s="41"/>
      <c r="L365" s="41" t="s">
        <v>478</v>
      </c>
      <c r="M365" s="41">
        <v>50942</v>
      </c>
      <c r="N365" s="41" t="s">
        <v>1110</v>
      </c>
      <c r="O365" s="41" t="s">
        <v>106</v>
      </c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  <c r="AB365" s="41"/>
      <c r="AC365" s="41"/>
      <c r="AD365" s="41"/>
      <c r="AE365" s="41"/>
      <c r="AF365" s="41"/>
      <c r="AG365" s="42"/>
      <c r="AH365" s="41"/>
      <c r="AI365" s="41"/>
      <c r="AJ365" s="41"/>
      <c r="AK365" s="41"/>
      <c r="AL365" s="41"/>
      <c r="AM365" s="41"/>
      <c r="AN365" s="41"/>
      <c r="AO365" s="41"/>
      <c r="AP365" s="41"/>
      <c r="AQ365" s="41"/>
      <c r="AR365" s="41"/>
      <c r="AS365" s="41"/>
      <c r="AT365" s="41"/>
      <c r="AU365" s="41"/>
      <c r="AV365" s="41"/>
      <c r="AW365" s="41"/>
      <c r="AX365" s="41"/>
      <c r="AY365" s="41"/>
      <c r="AZ365" s="41"/>
      <c r="BA365" s="41"/>
      <c r="BB365" s="41"/>
      <c r="BC365" s="41"/>
      <c r="BD365" s="42"/>
      <c r="BE365" s="41"/>
      <c r="BF365" s="41"/>
      <c r="BG365" s="41"/>
      <c r="BH365" s="42"/>
      <c r="BI365" s="41"/>
      <c r="BJ365" s="41"/>
    </row>
    <row r="366" spans="1:62" s="38" customFormat="1" x14ac:dyDescent="0.25">
      <c r="A366" s="41"/>
      <c r="B366" s="41" t="s">
        <v>1111</v>
      </c>
      <c r="C366" s="41" t="s">
        <v>1112</v>
      </c>
      <c r="D366" s="41"/>
      <c r="E366" s="41" t="s">
        <v>17</v>
      </c>
      <c r="F366" s="41">
        <v>2025</v>
      </c>
      <c r="G366" s="41" t="s">
        <v>1346</v>
      </c>
      <c r="H366" s="41"/>
      <c r="I366" s="43"/>
      <c r="J366" s="41"/>
      <c r="K366" s="41"/>
      <c r="L366" s="41" t="s">
        <v>268</v>
      </c>
      <c r="M366" s="41">
        <v>50912</v>
      </c>
      <c r="N366" s="41" t="s">
        <v>1113</v>
      </c>
      <c r="O366" s="41" t="s">
        <v>111</v>
      </c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  <c r="AB366" s="41"/>
      <c r="AC366" s="41"/>
      <c r="AD366" s="41"/>
      <c r="AE366" s="41"/>
      <c r="AF366" s="41"/>
      <c r="AG366" s="42"/>
      <c r="AH366" s="41"/>
      <c r="AI366" s="41"/>
      <c r="AJ366" s="41"/>
      <c r="AK366" s="41"/>
      <c r="AL366" s="41"/>
      <c r="AM366" s="41"/>
      <c r="AN366" s="41"/>
      <c r="AO366" s="41"/>
      <c r="AP366" s="41"/>
      <c r="AQ366" s="41"/>
      <c r="AR366" s="41"/>
      <c r="AS366" s="41"/>
      <c r="AT366" s="41"/>
      <c r="AU366" s="41"/>
      <c r="AV366" s="41"/>
      <c r="AW366" s="41"/>
      <c r="AX366" s="41"/>
      <c r="AY366" s="41"/>
      <c r="AZ366" s="41"/>
      <c r="BA366" s="41"/>
      <c r="BB366" s="41"/>
      <c r="BC366" s="41"/>
      <c r="BD366" s="42"/>
      <c r="BE366" s="41"/>
      <c r="BF366" s="41"/>
      <c r="BG366" s="41"/>
      <c r="BH366" s="42"/>
      <c r="BI366" s="41"/>
      <c r="BJ366" s="41"/>
    </row>
    <row r="367" spans="1:62" s="38" customFormat="1" x14ac:dyDescent="0.25">
      <c r="A367" s="41"/>
      <c r="B367" s="41" t="s">
        <v>1114</v>
      </c>
      <c r="C367" s="41" t="s">
        <v>1115</v>
      </c>
      <c r="D367" s="41"/>
      <c r="E367" s="41" t="s">
        <v>17</v>
      </c>
      <c r="F367" s="41">
        <v>2025</v>
      </c>
      <c r="G367" s="41" t="s">
        <v>1346</v>
      </c>
      <c r="H367" s="41"/>
      <c r="I367" s="43"/>
      <c r="J367" s="41"/>
      <c r="K367" s="41"/>
      <c r="L367" s="41" t="s">
        <v>73</v>
      </c>
      <c r="M367" s="41">
        <v>100979</v>
      </c>
      <c r="N367" s="41" t="s">
        <v>1116</v>
      </c>
      <c r="O367" s="41" t="s">
        <v>319</v>
      </c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  <c r="AB367" s="41"/>
      <c r="AC367" s="41"/>
      <c r="AD367" s="41"/>
      <c r="AE367" s="41"/>
      <c r="AF367" s="41"/>
      <c r="AG367" s="42"/>
      <c r="AH367" s="41"/>
      <c r="AI367" s="41"/>
      <c r="AJ367" s="41"/>
      <c r="AK367" s="41"/>
      <c r="AL367" s="41"/>
      <c r="AM367" s="41"/>
      <c r="AN367" s="41"/>
      <c r="AO367" s="41"/>
      <c r="AP367" s="41"/>
      <c r="AQ367" s="41"/>
      <c r="AR367" s="41"/>
      <c r="AS367" s="41"/>
      <c r="AT367" s="41"/>
      <c r="AU367" s="41"/>
      <c r="AV367" s="41"/>
      <c r="AW367" s="41"/>
      <c r="AX367" s="41"/>
      <c r="AY367" s="41"/>
      <c r="AZ367" s="41"/>
      <c r="BA367" s="41"/>
      <c r="BB367" s="41"/>
      <c r="BC367" s="41"/>
      <c r="BD367" s="42"/>
      <c r="BE367" s="41"/>
      <c r="BF367" s="41"/>
      <c r="BG367" s="41"/>
      <c r="BH367" s="42"/>
      <c r="BI367" s="41"/>
      <c r="BJ367" s="41"/>
    </row>
    <row r="368" spans="1:62" s="38" customFormat="1" x14ac:dyDescent="0.25">
      <c r="A368" s="41"/>
      <c r="B368" s="41" t="s">
        <v>1117</v>
      </c>
      <c r="C368" s="41" t="s">
        <v>1118</v>
      </c>
      <c r="D368" s="41"/>
      <c r="E368" s="41" t="s">
        <v>17</v>
      </c>
      <c r="F368" s="41">
        <v>2025</v>
      </c>
      <c r="G368" s="41" t="s">
        <v>1346</v>
      </c>
      <c r="H368" s="41"/>
      <c r="I368" s="43"/>
      <c r="J368" s="41"/>
      <c r="K368" s="41"/>
      <c r="L368" s="41" t="s">
        <v>65</v>
      </c>
      <c r="M368" s="41">
        <v>100988</v>
      </c>
      <c r="N368" s="41" t="s">
        <v>1119</v>
      </c>
      <c r="O368" s="41" t="s">
        <v>67</v>
      </c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  <c r="AB368" s="41"/>
      <c r="AC368" s="41"/>
      <c r="AD368" s="41"/>
      <c r="AE368" s="41"/>
      <c r="AF368" s="41"/>
      <c r="AG368" s="42"/>
      <c r="AH368" s="41"/>
      <c r="AI368" s="41"/>
      <c r="AJ368" s="41"/>
      <c r="AK368" s="41"/>
      <c r="AL368" s="41"/>
      <c r="AM368" s="41"/>
      <c r="AN368" s="41"/>
      <c r="AO368" s="41"/>
      <c r="AP368" s="41"/>
      <c r="AQ368" s="41"/>
      <c r="AR368" s="41"/>
      <c r="AS368" s="41"/>
      <c r="AT368" s="41"/>
      <c r="AU368" s="41"/>
      <c r="AV368" s="41"/>
      <c r="AW368" s="41"/>
      <c r="AX368" s="41"/>
      <c r="AY368" s="41"/>
      <c r="AZ368" s="41"/>
      <c r="BA368" s="41"/>
      <c r="BB368" s="41"/>
      <c r="BC368" s="41"/>
      <c r="BD368" s="42"/>
      <c r="BE368" s="41"/>
      <c r="BF368" s="41"/>
      <c r="BG368" s="41"/>
      <c r="BH368" s="42"/>
      <c r="BI368" s="41"/>
      <c r="BJ368" s="41"/>
    </row>
    <row r="369" spans="1:62" s="38" customFormat="1" x14ac:dyDescent="0.25">
      <c r="A369" s="41"/>
      <c r="B369" s="41" t="s">
        <v>1120</v>
      </c>
      <c r="C369" s="41" t="s">
        <v>1121</v>
      </c>
      <c r="D369" s="41"/>
      <c r="E369" s="41" t="s">
        <v>17</v>
      </c>
      <c r="F369" s="41">
        <v>2025</v>
      </c>
      <c r="G369" s="41" t="s">
        <v>1346</v>
      </c>
      <c r="H369" s="41"/>
      <c r="I369" s="43"/>
      <c r="J369" s="41"/>
      <c r="K369" s="41"/>
      <c r="L369" s="41" t="s">
        <v>73</v>
      </c>
      <c r="M369" s="41">
        <v>100951</v>
      </c>
      <c r="N369" s="41" t="s">
        <v>1122</v>
      </c>
      <c r="O369" s="41" t="s">
        <v>99</v>
      </c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  <c r="AB369" s="41"/>
      <c r="AC369" s="41"/>
      <c r="AD369" s="41"/>
      <c r="AE369" s="41"/>
      <c r="AF369" s="41"/>
      <c r="AG369" s="42"/>
      <c r="AH369" s="41"/>
      <c r="AI369" s="41"/>
      <c r="AJ369" s="41"/>
      <c r="AK369" s="41"/>
      <c r="AL369" s="41"/>
      <c r="AM369" s="41"/>
      <c r="AN369" s="41"/>
      <c r="AO369" s="41"/>
      <c r="AP369" s="41"/>
      <c r="AQ369" s="41"/>
      <c r="AR369" s="41"/>
      <c r="AS369" s="41"/>
      <c r="AT369" s="41"/>
      <c r="AU369" s="41"/>
      <c r="AV369" s="41"/>
      <c r="AW369" s="41"/>
      <c r="AX369" s="41"/>
      <c r="AY369" s="41"/>
      <c r="AZ369" s="41"/>
      <c r="BA369" s="41"/>
      <c r="BB369" s="41"/>
      <c r="BC369" s="41"/>
      <c r="BD369" s="42"/>
      <c r="BE369" s="41"/>
      <c r="BF369" s="41"/>
      <c r="BG369" s="41"/>
      <c r="BH369" s="42"/>
      <c r="BI369" s="41"/>
      <c r="BJ369" s="41"/>
    </row>
    <row r="370" spans="1:62" s="38" customFormat="1" x14ac:dyDescent="0.25">
      <c r="A370" s="41"/>
      <c r="B370" s="41" t="s">
        <v>1123</v>
      </c>
      <c r="C370" s="41" t="s">
        <v>1124</v>
      </c>
      <c r="D370" s="41"/>
      <c r="E370" s="41" t="s">
        <v>17</v>
      </c>
      <c r="F370" s="41">
        <v>2025</v>
      </c>
      <c r="G370" s="41" t="s">
        <v>1346</v>
      </c>
      <c r="H370" s="41"/>
      <c r="I370" s="43"/>
      <c r="J370" s="41"/>
      <c r="K370" s="41"/>
      <c r="L370" s="41" t="s">
        <v>77</v>
      </c>
      <c r="M370" s="41">
        <v>50961</v>
      </c>
      <c r="N370" s="41" t="s">
        <v>1125</v>
      </c>
      <c r="O370" s="41" t="s">
        <v>266</v>
      </c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1"/>
      <c r="AC370" s="41"/>
      <c r="AD370" s="41"/>
      <c r="AE370" s="41"/>
      <c r="AF370" s="41"/>
      <c r="AG370" s="42"/>
      <c r="AH370" s="41"/>
      <c r="AI370" s="41"/>
      <c r="AJ370" s="41"/>
      <c r="AK370" s="41"/>
      <c r="AL370" s="41"/>
      <c r="AM370" s="41"/>
      <c r="AN370" s="41"/>
      <c r="AO370" s="41"/>
      <c r="AP370" s="41"/>
      <c r="AQ370" s="41"/>
      <c r="AR370" s="41"/>
      <c r="AS370" s="41"/>
      <c r="AT370" s="41"/>
      <c r="AU370" s="41"/>
      <c r="AV370" s="41"/>
      <c r="AW370" s="41"/>
      <c r="AX370" s="41"/>
      <c r="AY370" s="41"/>
      <c r="AZ370" s="41"/>
      <c r="BA370" s="41"/>
      <c r="BB370" s="41"/>
      <c r="BC370" s="41"/>
      <c r="BD370" s="42"/>
      <c r="BE370" s="41"/>
      <c r="BF370" s="41"/>
      <c r="BG370" s="41"/>
      <c r="BH370" s="42"/>
      <c r="BI370" s="41"/>
      <c r="BJ370" s="41"/>
    </row>
    <row r="371" spans="1:62" s="38" customFormat="1" x14ac:dyDescent="0.25">
      <c r="A371" s="41"/>
      <c r="B371" s="41" t="s">
        <v>1126</v>
      </c>
      <c r="C371" s="41" t="s">
        <v>1127</v>
      </c>
      <c r="D371" s="41"/>
      <c r="E371" s="41" t="s">
        <v>17</v>
      </c>
      <c r="F371" s="41">
        <v>2025</v>
      </c>
      <c r="G371" s="41" t="s">
        <v>1346</v>
      </c>
      <c r="H371" s="41"/>
      <c r="I371" s="43"/>
      <c r="J371" s="41"/>
      <c r="K371" s="41"/>
      <c r="L371" s="41" t="s">
        <v>120</v>
      </c>
      <c r="M371" s="41">
        <v>100998</v>
      </c>
      <c r="N371" s="41" t="s">
        <v>1128</v>
      </c>
      <c r="O371" s="41" t="s">
        <v>67</v>
      </c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  <c r="AB371" s="41"/>
      <c r="AC371" s="41"/>
      <c r="AD371" s="41"/>
      <c r="AE371" s="41"/>
      <c r="AF371" s="41"/>
      <c r="AG371" s="42"/>
      <c r="AH371" s="41"/>
      <c r="AI371" s="41"/>
      <c r="AJ371" s="41"/>
      <c r="AK371" s="41"/>
      <c r="AL371" s="41"/>
      <c r="AM371" s="41"/>
      <c r="AN371" s="41"/>
      <c r="AO371" s="41"/>
      <c r="AP371" s="41"/>
      <c r="AQ371" s="41"/>
      <c r="AR371" s="41"/>
      <c r="AS371" s="41"/>
      <c r="AT371" s="41"/>
      <c r="AU371" s="41"/>
      <c r="AV371" s="41"/>
      <c r="AW371" s="41"/>
      <c r="AX371" s="41"/>
      <c r="AY371" s="41"/>
      <c r="AZ371" s="41"/>
      <c r="BA371" s="41"/>
      <c r="BB371" s="41"/>
      <c r="BC371" s="41"/>
      <c r="BD371" s="42"/>
      <c r="BE371" s="41"/>
      <c r="BF371" s="41"/>
      <c r="BG371" s="41"/>
      <c r="BH371" s="42"/>
      <c r="BI371" s="41"/>
      <c r="BJ371" s="41"/>
    </row>
    <row r="372" spans="1:62" s="38" customFormat="1" x14ac:dyDescent="0.25">
      <c r="A372" s="41"/>
      <c r="B372" s="41" t="s">
        <v>1129</v>
      </c>
      <c r="C372" s="41" t="s">
        <v>1130</v>
      </c>
      <c r="D372" s="41"/>
      <c r="E372" s="41" t="s">
        <v>17</v>
      </c>
      <c r="F372" s="41">
        <v>2025</v>
      </c>
      <c r="G372" s="41" t="s">
        <v>1346</v>
      </c>
      <c r="H372" s="41"/>
      <c r="I372" s="43"/>
      <c r="J372" s="41"/>
      <c r="K372" s="41"/>
      <c r="L372" s="41" t="s">
        <v>73</v>
      </c>
      <c r="M372" s="41">
        <v>100987</v>
      </c>
      <c r="N372" s="41" t="s">
        <v>1131</v>
      </c>
      <c r="O372" s="41" t="s">
        <v>258</v>
      </c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  <c r="AB372" s="41"/>
      <c r="AC372" s="41"/>
      <c r="AD372" s="41"/>
      <c r="AE372" s="41"/>
      <c r="AF372" s="41"/>
      <c r="AG372" s="42"/>
      <c r="AH372" s="41"/>
      <c r="AI372" s="41"/>
      <c r="AJ372" s="41"/>
      <c r="AK372" s="41"/>
      <c r="AL372" s="41"/>
      <c r="AM372" s="41"/>
      <c r="AN372" s="41"/>
      <c r="AO372" s="41"/>
      <c r="AP372" s="41"/>
      <c r="AQ372" s="41"/>
      <c r="AR372" s="41"/>
      <c r="AS372" s="41"/>
      <c r="AT372" s="41"/>
      <c r="AU372" s="41"/>
      <c r="AV372" s="41"/>
      <c r="AW372" s="41"/>
      <c r="AX372" s="41"/>
      <c r="AY372" s="41"/>
      <c r="AZ372" s="41"/>
      <c r="BA372" s="41"/>
      <c r="BB372" s="41"/>
      <c r="BC372" s="41"/>
      <c r="BD372" s="42"/>
      <c r="BE372" s="41"/>
      <c r="BF372" s="41"/>
      <c r="BG372" s="41"/>
      <c r="BH372" s="42"/>
      <c r="BI372" s="41"/>
      <c r="BJ372" s="41"/>
    </row>
    <row r="373" spans="1:62" s="38" customFormat="1" x14ac:dyDescent="0.25">
      <c r="A373" s="41"/>
      <c r="B373" s="41" t="s">
        <v>1132</v>
      </c>
      <c r="C373" s="41" t="s">
        <v>1133</v>
      </c>
      <c r="D373" s="41"/>
      <c r="E373" s="41" t="s">
        <v>17</v>
      </c>
      <c r="F373" s="41">
        <v>2025</v>
      </c>
      <c r="G373" s="41" t="s">
        <v>1346</v>
      </c>
      <c r="H373" s="41"/>
      <c r="I373" s="43"/>
      <c r="J373" s="41"/>
      <c r="K373" s="41"/>
      <c r="L373" s="41" t="s">
        <v>77</v>
      </c>
      <c r="M373" s="41">
        <v>50986</v>
      </c>
      <c r="N373" s="41" t="s">
        <v>1134</v>
      </c>
      <c r="O373" s="41" t="s">
        <v>146</v>
      </c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  <c r="AB373" s="41"/>
      <c r="AC373" s="41"/>
      <c r="AD373" s="41"/>
      <c r="AE373" s="41"/>
      <c r="AF373" s="41"/>
      <c r="AG373" s="42"/>
      <c r="AH373" s="41"/>
      <c r="AI373" s="41"/>
      <c r="AJ373" s="41"/>
      <c r="AK373" s="41"/>
      <c r="AL373" s="41"/>
      <c r="AM373" s="41"/>
      <c r="AN373" s="41"/>
      <c r="AO373" s="41"/>
      <c r="AP373" s="41"/>
      <c r="AQ373" s="41"/>
      <c r="AR373" s="41"/>
      <c r="AS373" s="41"/>
      <c r="AT373" s="41"/>
      <c r="AU373" s="41"/>
      <c r="AV373" s="41"/>
      <c r="AW373" s="41"/>
      <c r="AX373" s="41"/>
      <c r="AY373" s="41"/>
      <c r="AZ373" s="41"/>
      <c r="BA373" s="41"/>
      <c r="BB373" s="41"/>
      <c r="BC373" s="41"/>
      <c r="BD373" s="42"/>
      <c r="BE373" s="41"/>
      <c r="BF373" s="41"/>
      <c r="BG373" s="41"/>
      <c r="BH373" s="42"/>
      <c r="BI373" s="41"/>
      <c r="BJ373" s="41"/>
    </row>
    <row r="374" spans="1:62" s="38" customFormat="1" x14ac:dyDescent="0.25">
      <c r="A374" s="41"/>
      <c r="B374" s="41" t="s">
        <v>1135</v>
      </c>
      <c r="C374" s="41" t="s">
        <v>1136</v>
      </c>
      <c r="D374" s="41"/>
      <c r="E374" s="41" t="s">
        <v>17</v>
      </c>
      <c r="F374" s="41">
        <v>2025</v>
      </c>
      <c r="G374" s="41" t="s">
        <v>1346</v>
      </c>
      <c r="H374" s="41"/>
      <c r="I374" s="43"/>
      <c r="J374" s="41"/>
      <c r="K374" s="41"/>
      <c r="L374" s="41" t="s">
        <v>73</v>
      </c>
      <c r="M374" s="41">
        <v>50974</v>
      </c>
      <c r="N374" s="41" t="s">
        <v>1137</v>
      </c>
      <c r="O374" s="41" t="s">
        <v>266</v>
      </c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1"/>
      <c r="AC374" s="41"/>
      <c r="AD374" s="41"/>
      <c r="AE374" s="41"/>
      <c r="AF374" s="41"/>
      <c r="AG374" s="42"/>
      <c r="AH374" s="41"/>
      <c r="AI374" s="41"/>
      <c r="AJ374" s="41"/>
      <c r="AK374" s="41"/>
      <c r="AL374" s="41"/>
      <c r="AM374" s="41"/>
      <c r="AN374" s="41"/>
      <c r="AO374" s="41"/>
      <c r="AP374" s="41"/>
      <c r="AQ374" s="41"/>
      <c r="AR374" s="41"/>
      <c r="AS374" s="41"/>
      <c r="AT374" s="41"/>
      <c r="AU374" s="41"/>
      <c r="AV374" s="41"/>
      <c r="AW374" s="41"/>
      <c r="AX374" s="41"/>
      <c r="AY374" s="41"/>
      <c r="AZ374" s="41"/>
      <c r="BA374" s="41"/>
      <c r="BB374" s="41"/>
      <c r="BC374" s="41"/>
      <c r="BD374" s="42"/>
      <c r="BE374" s="41"/>
      <c r="BF374" s="41"/>
      <c r="BG374" s="41"/>
      <c r="BH374" s="42"/>
      <c r="BI374" s="41"/>
      <c r="BJ374" s="41"/>
    </row>
    <row r="375" spans="1:62" s="38" customFormat="1" x14ac:dyDescent="0.25">
      <c r="A375" s="41"/>
      <c r="B375" s="41" t="s">
        <v>1138</v>
      </c>
      <c r="C375" s="41" t="s">
        <v>1139</v>
      </c>
      <c r="D375" s="41"/>
      <c r="E375" s="41" t="s">
        <v>17</v>
      </c>
      <c r="F375" s="41">
        <v>2025</v>
      </c>
      <c r="G375" s="41" t="s">
        <v>1346</v>
      </c>
      <c r="H375" s="41"/>
      <c r="I375" s="43"/>
      <c r="J375" s="41"/>
      <c r="K375" s="41"/>
      <c r="L375" s="41" t="s">
        <v>268</v>
      </c>
      <c r="M375" s="41">
        <v>250945</v>
      </c>
      <c r="N375" s="41" t="s">
        <v>1140</v>
      </c>
      <c r="O375" s="41" t="s">
        <v>99</v>
      </c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  <c r="AB375" s="41"/>
      <c r="AC375" s="41"/>
      <c r="AD375" s="41"/>
      <c r="AE375" s="41"/>
      <c r="AF375" s="41"/>
      <c r="AG375" s="42"/>
      <c r="AH375" s="41"/>
      <c r="AI375" s="41"/>
      <c r="AJ375" s="41"/>
      <c r="AK375" s="41"/>
      <c r="AL375" s="41"/>
      <c r="AM375" s="41"/>
      <c r="AN375" s="41"/>
      <c r="AO375" s="41"/>
      <c r="AP375" s="41"/>
      <c r="AQ375" s="41"/>
      <c r="AR375" s="41"/>
      <c r="AS375" s="41"/>
      <c r="AT375" s="41"/>
      <c r="AU375" s="41"/>
      <c r="AV375" s="41"/>
      <c r="AW375" s="41"/>
      <c r="AX375" s="41"/>
      <c r="AY375" s="41"/>
      <c r="AZ375" s="41"/>
      <c r="BA375" s="41"/>
      <c r="BB375" s="41"/>
      <c r="BC375" s="41"/>
      <c r="BD375" s="42"/>
      <c r="BE375" s="41"/>
      <c r="BF375" s="41"/>
      <c r="BG375" s="41"/>
      <c r="BH375" s="42"/>
      <c r="BI375" s="41"/>
      <c r="BJ375" s="41"/>
    </row>
    <row r="376" spans="1:62" s="38" customFormat="1" x14ac:dyDescent="0.25">
      <c r="A376" s="41"/>
      <c r="B376" s="41" t="s">
        <v>1141</v>
      </c>
      <c r="C376" s="41" t="s">
        <v>1142</v>
      </c>
      <c r="D376" s="41"/>
      <c r="E376" s="41" t="s">
        <v>17</v>
      </c>
      <c r="F376" s="41">
        <v>2025</v>
      </c>
      <c r="G376" s="41" t="s">
        <v>1346</v>
      </c>
      <c r="H376" s="41"/>
      <c r="I376" s="43"/>
      <c r="J376" s="41"/>
      <c r="K376" s="41"/>
      <c r="L376" s="41" t="s">
        <v>299</v>
      </c>
      <c r="M376" s="41">
        <v>50918</v>
      </c>
      <c r="N376" s="41" t="s">
        <v>1143</v>
      </c>
      <c r="O376" s="41" t="s">
        <v>146</v>
      </c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  <c r="AC376" s="41"/>
      <c r="AD376" s="41"/>
      <c r="AE376" s="41"/>
      <c r="AF376" s="41"/>
      <c r="AG376" s="42"/>
      <c r="AH376" s="41"/>
      <c r="AI376" s="41"/>
      <c r="AJ376" s="41"/>
      <c r="AK376" s="41"/>
      <c r="AL376" s="41"/>
      <c r="AM376" s="41"/>
      <c r="AN376" s="41"/>
      <c r="AO376" s="41"/>
      <c r="AP376" s="41"/>
      <c r="AQ376" s="41"/>
      <c r="AR376" s="41"/>
      <c r="AS376" s="41"/>
      <c r="AT376" s="41"/>
      <c r="AU376" s="41"/>
      <c r="AV376" s="41"/>
      <c r="AW376" s="41"/>
      <c r="AX376" s="41"/>
      <c r="AY376" s="41"/>
      <c r="AZ376" s="41"/>
      <c r="BA376" s="41"/>
      <c r="BB376" s="41"/>
      <c r="BC376" s="41"/>
      <c r="BD376" s="42"/>
      <c r="BE376" s="41"/>
      <c r="BF376" s="41"/>
      <c r="BG376" s="41"/>
      <c r="BH376" s="42"/>
      <c r="BI376" s="41"/>
      <c r="BJ376" s="41"/>
    </row>
    <row r="377" spans="1:62" s="38" customFormat="1" x14ac:dyDescent="0.25">
      <c r="A377" s="41"/>
      <c r="B377" s="41" t="s">
        <v>1144</v>
      </c>
      <c r="C377" s="41" t="s">
        <v>1145</v>
      </c>
      <c r="D377" s="41"/>
      <c r="E377" s="41" t="s">
        <v>17</v>
      </c>
      <c r="F377" s="41">
        <v>2025</v>
      </c>
      <c r="G377" s="41" t="s">
        <v>1346</v>
      </c>
      <c r="H377" s="41"/>
      <c r="I377" s="43"/>
      <c r="J377" s="41"/>
      <c r="K377" s="41"/>
      <c r="L377" s="41" t="s">
        <v>73</v>
      </c>
      <c r="M377" s="41">
        <v>100941</v>
      </c>
      <c r="N377" s="41" t="s">
        <v>1146</v>
      </c>
      <c r="O377" s="41" t="s">
        <v>272</v>
      </c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  <c r="AB377" s="41"/>
      <c r="AC377" s="41"/>
      <c r="AD377" s="41"/>
      <c r="AE377" s="41"/>
      <c r="AF377" s="41"/>
      <c r="AG377" s="42"/>
      <c r="AH377" s="41"/>
      <c r="AI377" s="41"/>
      <c r="AJ377" s="41"/>
      <c r="AK377" s="41"/>
      <c r="AL377" s="41"/>
      <c r="AM377" s="41"/>
      <c r="AN377" s="41"/>
      <c r="AO377" s="41"/>
      <c r="AP377" s="41"/>
      <c r="AQ377" s="41"/>
      <c r="AR377" s="41"/>
      <c r="AS377" s="41"/>
      <c r="AT377" s="41"/>
      <c r="AU377" s="41"/>
      <c r="AV377" s="41"/>
      <c r="AW377" s="41"/>
      <c r="AX377" s="41"/>
      <c r="AY377" s="41"/>
      <c r="AZ377" s="41"/>
      <c r="BA377" s="41"/>
      <c r="BB377" s="41"/>
      <c r="BC377" s="41"/>
      <c r="BD377" s="42"/>
      <c r="BE377" s="41"/>
      <c r="BF377" s="41"/>
      <c r="BG377" s="41"/>
      <c r="BH377" s="42"/>
      <c r="BI377" s="41"/>
      <c r="BJ377" s="41"/>
    </row>
    <row r="378" spans="1:62" s="38" customFormat="1" x14ac:dyDescent="0.25">
      <c r="A378" s="41"/>
      <c r="B378" s="41" t="s">
        <v>1147</v>
      </c>
      <c r="C378" s="41" t="s">
        <v>1148</v>
      </c>
      <c r="D378" s="41"/>
      <c r="E378" s="41" t="s">
        <v>17</v>
      </c>
      <c r="F378" s="41">
        <v>2025</v>
      </c>
      <c r="G378" s="41" t="s">
        <v>1346</v>
      </c>
      <c r="H378" s="41"/>
      <c r="I378" s="43"/>
      <c r="J378" s="41"/>
      <c r="K378" s="41"/>
      <c r="L378" s="41" t="s">
        <v>299</v>
      </c>
      <c r="M378" s="41">
        <v>50948</v>
      </c>
      <c r="N378" s="41" t="s">
        <v>1149</v>
      </c>
      <c r="O378" s="41" t="s">
        <v>272</v>
      </c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  <c r="AB378" s="41"/>
      <c r="AC378" s="41"/>
      <c r="AD378" s="41"/>
      <c r="AE378" s="41"/>
      <c r="AF378" s="41"/>
      <c r="AG378" s="42"/>
      <c r="AH378" s="41"/>
      <c r="AI378" s="41"/>
      <c r="AJ378" s="41"/>
      <c r="AK378" s="41"/>
      <c r="AL378" s="41"/>
      <c r="AM378" s="41"/>
      <c r="AN378" s="41"/>
      <c r="AO378" s="41"/>
      <c r="AP378" s="41"/>
      <c r="AQ378" s="41"/>
      <c r="AR378" s="41"/>
      <c r="AS378" s="41"/>
      <c r="AT378" s="41"/>
      <c r="AU378" s="41"/>
      <c r="AV378" s="41"/>
      <c r="AW378" s="41"/>
      <c r="AX378" s="41"/>
      <c r="AY378" s="41"/>
      <c r="AZ378" s="41"/>
      <c r="BA378" s="41"/>
      <c r="BB378" s="41"/>
      <c r="BC378" s="41"/>
      <c r="BD378" s="42"/>
      <c r="BE378" s="41"/>
      <c r="BF378" s="41"/>
      <c r="BG378" s="41"/>
      <c r="BH378" s="42"/>
      <c r="BI378" s="41"/>
      <c r="BJ378" s="41"/>
    </row>
    <row r="379" spans="1:62" s="38" customFormat="1" x14ac:dyDescent="0.25">
      <c r="A379" s="41"/>
      <c r="B379" s="41" t="s">
        <v>1150</v>
      </c>
      <c r="C379" s="41" t="s">
        <v>1151</v>
      </c>
      <c r="D379" s="41"/>
      <c r="E379" s="41" t="s">
        <v>17</v>
      </c>
      <c r="F379" s="41">
        <v>2025</v>
      </c>
      <c r="G379" s="41" t="s">
        <v>1346</v>
      </c>
      <c r="H379" s="41"/>
      <c r="I379" s="43"/>
      <c r="J379" s="41"/>
      <c r="K379" s="41"/>
      <c r="L379" s="41" t="s">
        <v>73</v>
      </c>
      <c r="M379" s="41">
        <v>50985</v>
      </c>
      <c r="N379" s="41" t="s">
        <v>1152</v>
      </c>
      <c r="O379" s="41" t="s">
        <v>272</v>
      </c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  <c r="AB379" s="41"/>
      <c r="AC379" s="41"/>
      <c r="AD379" s="41"/>
      <c r="AE379" s="41"/>
      <c r="AF379" s="41"/>
      <c r="AG379" s="42"/>
      <c r="AH379" s="41"/>
      <c r="AI379" s="41"/>
      <c r="AJ379" s="41"/>
      <c r="AK379" s="41"/>
      <c r="AL379" s="41"/>
      <c r="AM379" s="41"/>
      <c r="AN379" s="41"/>
      <c r="AO379" s="41"/>
      <c r="AP379" s="41"/>
      <c r="AQ379" s="41"/>
      <c r="AR379" s="41"/>
      <c r="AS379" s="41"/>
      <c r="AT379" s="41"/>
      <c r="AU379" s="41"/>
      <c r="AV379" s="41"/>
      <c r="AW379" s="41"/>
      <c r="AX379" s="41"/>
      <c r="AY379" s="41"/>
      <c r="AZ379" s="41"/>
      <c r="BA379" s="41"/>
      <c r="BB379" s="41"/>
      <c r="BC379" s="41"/>
      <c r="BD379" s="42"/>
      <c r="BE379" s="41"/>
      <c r="BF379" s="41"/>
      <c r="BG379" s="41"/>
      <c r="BH379" s="42"/>
      <c r="BI379" s="41"/>
      <c r="BJ379" s="41"/>
    </row>
    <row r="380" spans="1:62" s="38" customFormat="1" x14ac:dyDescent="0.25">
      <c r="A380" s="41"/>
      <c r="B380" s="41" t="s">
        <v>1153</v>
      </c>
      <c r="C380" s="41" t="s">
        <v>1154</v>
      </c>
      <c r="D380" s="41"/>
      <c r="E380" s="41" t="s">
        <v>17</v>
      </c>
      <c r="F380" s="41">
        <v>2025</v>
      </c>
      <c r="G380" s="41" t="s">
        <v>1346</v>
      </c>
      <c r="H380" s="41"/>
      <c r="I380" s="43"/>
      <c r="J380" s="41"/>
      <c r="K380" s="41"/>
      <c r="L380" s="41" t="s">
        <v>73</v>
      </c>
      <c r="M380" s="41">
        <v>100972</v>
      </c>
      <c r="N380" s="41" t="s">
        <v>1155</v>
      </c>
      <c r="O380" s="41" t="s">
        <v>319</v>
      </c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1"/>
      <c r="AC380" s="41"/>
      <c r="AD380" s="41"/>
      <c r="AE380" s="41"/>
      <c r="AF380" s="41"/>
      <c r="AG380" s="42"/>
      <c r="AH380" s="41"/>
      <c r="AI380" s="41"/>
      <c r="AJ380" s="41"/>
      <c r="AK380" s="41"/>
      <c r="AL380" s="41"/>
      <c r="AM380" s="41"/>
      <c r="AN380" s="41"/>
      <c r="AO380" s="41"/>
      <c r="AP380" s="41"/>
      <c r="AQ380" s="41"/>
      <c r="AR380" s="41"/>
      <c r="AS380" s="41"/>
      <c r="AT380" s="41"/>
      <c r="AU380" s="41"/>
      <c r="AV380" s="41"/>
      <c r="AW380" s="41"/>
      <c r="AX380" s="41"/>
      <c r="AY380" s="41"/>
      <c r="AZ380" s="41"/>
      <c r="BA380" s="41"/>
      <c r="BB380" s="41"/>
      <c r="BC380" s="41"/>
      <c r="BD380" s="42"/>
      <c r="BE380" s="41"/>
      <c r="BF380" s="41"/>
      <c r="BG380" s="41"/>
      <c r="BH380" s="42"/>
      <c r="BI380" s="41"/>
      <c r="BJ380" s="41"/>
    </row>
    <row r="381" spans="1:62" s="38" customFormat="1" x14ac:dyDescent="0.25">
      <c r="A381" s="41"/>
      <c r="B381" s="41" t="s">
        <v>1156</v>
      </c>
      <c r="C381" s="41" t="s">
        <v>1157</v>
      </c>
      <c r="D381" s="41"/>
      <c r="E381" s="41" t="s">
        <v>17</v>
      </c>
      <c r="F381" s="41">
        <v>2025</v>
      </c>
      <c r="G381" s="41" t="s">
        <v>1346</v>
      </c>
      <c r="H381" s="41"/>
      <c r="I381" s="43"/>
      <c r="J381" s="41"/>
      <c r="K381" s="41"/>
      <c r="L381" s="41" t="s">
        <v>268</v>
      </c>
      <c r="M381" s="41">
        <v>100980</v>
      </c>
      <c r="N381" s="41" t="s">
        <v>1158</v>
      </c>
      <c r="O381" s="41" t="s">
        <v>67</v>
      </c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  <c r="AB381" s="41"/>
      <c r="AC381" s="41"/>
      <c r="AD381" s="41"/>
      <c r="AE381" s="41"/>
      <c r="AF381" s="41"/>
      <c r="AG381" s="42"/>
      <c r="AH381" s="41"/>
      <c r="AI381" s="41"/>
      <c r="AJ381" s="41"/>
      <c r="AK381" s="41"/>
      <c r="AL381" s="41"/>
      <c r="AM381" s="41"/>
      <c r="AN381" s="41"/>
      <c r="AO381" s="41"/>
      <c r="AP381" s="41"/>
      <c r="AQ381" s="41"/>
      <c r="AR381" s="41"/>
      <c r="AS381" s="41"/>
      <c r="AT381" s="41"/>
      <c r="AU381" s="41"/>
      <c r="AV381" s="41"/>
      <c r="AW381" s="41"/>
      <c r="AX381" s="41"/>
      <c r="AY381" s="41"/>
      <c r="AZ381" s="41"/>
      <c r="BA381" s="41"/>
      <c r="BB381" s="41"/>
      <c r="BC381" s="41"/>
      <c r="BD381" s="42"/>
      <c r="BE381" s="41"/>
      <c r="BF381" s="41"/>
      <c r="BG381" s="41"/>
      <c r="BH381" s="42"/>
      <c r="BI381" s="41"/>
      <c r="BJ381" s="41"/>
    </row>
    <row r="382" spans="1:62" s="38" customFormat="1" x14ac:dyDescent="0.25">
      <c r="A382" s="41"/>
      <c r="B382" s="41" t="s">
        <v>376</v>
      </c>
      <c r="C382" s="41" t="s">
        <v>1159</v>
      </c>
      <c r="D382" s="41"/>
      <c r="E382" s="41" t="s">
        <v>17</v>
      </c>
      <c r="F382" s="41">
        <v>2025</v>
      </c>
      <c r="G382" s="41" t="s">
        <v>1346</v>
      </c>
      <c r="H382" s="41"/>
      <c r="I382" s="43"/>
      <c r="J382" s="41"/>
      <c r="K382" s="41"/>
      <c r="L382" s="41" t="s">
        <v>268</v>
      </c>
      <c r="M382" s="41">
        <v>50945</v>
      </c>
      <c r="N382" s="41" t="s">
        <v>1160</v>
      </c>
      <c r="O382" s="41" t="s">
        <v>235</v>
      </c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  <c r="AC382" s="41"/>
      <c r="AD382" s="41"/>
      <c r="AE382" s="41"/>
      <c r="AF382" s="41"/>
      <c r="AG382" s="42"/>
      <c r="AH382" s="41"/>
      <c r="AI382" s="41"/>
      <c r="AJ382" s="41"/>
      <c r="AK382" s="41"/>
      <c r="AL382" s="41"/>
      <c r="AM382" s="41"/>
      <c r="AN382" s="41"/>
      <c r="AO382" s="41"/>
      <c r="AP382" s="41"/>
      <c r="AQ382" s="41"/>
      <c r="AR382" s="41"/>
      <c r="AS382" s="41"/>
      <c r="AT382" s="41"/>
      <c r="AU382" s="41"/>
      <c r="AV382" s="41"/>
      <c r="AW382" s="41"/>
      <c r="AX382" s="41"/>
      <c r="AY382" s="41"/>
      <c r="AZ382" s="41"/>
      <c r="BA382" s="41"/>
      <c r="BB382" s="41"/>
      <c r="BC382" s="41"/>
      <c r="BD382" s="42"/>
      <c r="BE382" s="41"/>
      <c r="BF382" s="41"/>
      <c r="BG382" s="41"/>
      <c r="BH382" s="42"/>
      <c r="BI382" s="41"/>
      <c r="BJ382" s="41"/>
    </row>
    <row r="383" spans="1:62" s="38" customFormat="1" x14ac:dyDescent="0.25">
      <c r="A383" s="41"/>
      <c r="B383" s="41" t="s">
        <v>1161</v>
      </c>
      <c r="C383" s="41" t="s">
        <v>1162</v>
      </c>
      <c r="D383" s="41"/>
      <c r="E383" s="41" t="s">
        <v>17</v>
      </c>
      <c r="F383" s="41">
        <v>2025</v>
      </c>
      <c r="G383" s="41" t="s">
        <v>1346</v>
      </c>
      <c r="H383" s="41"/>
      <c r="I383" s="43"/>
      <c r="J383" s="41"/>
      <c r="K383" s="41"/>
      <c r="L383" s="41" t="s">
        <v>268</v>
      </c>
      <c r="M383" s="41">
        <v>100968</v>
      </c>
      <c r="N383" s="41" t="s">
        <v>1163</v>
      </c>
      <c r="O383" s="41" t="s">
        <v>106</v>
      </c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  <c r="AC383" s="41"/>
      <c r="AD383" s="41"/>
      <c r="AE383" s="41"/>
      <c r="AF383" s="41"/>
      <c r="AG383" s="42"/>
      <c r="AH383" s="41"/>
      <c r="AI383" s="41"/>
      <c r="AJ383" s="41"/>
      <c r="AK383" s="41"/>
      <c r="AL383" s="41"/>
      <c r="AM383" s="41"/>
      <c r="AN383" s="41"/>
      <c r="AO383" s="41"/>
      <c r="AP383" s="41"/>
      <c r="AQ383" s="41"/>
      <c r="AR383" s="41"/>
      <c r="AS383" s="41"/>
      <c r="AT383" s="41"/>
      <c r="AU383" s="41"/>
      <c r="AV383" s="41"/>
      <c r="AW383" s="41"/>
      <c r="AX383" s="41"/>
      <c r="AY383" s="41"/>
      <c r="AZ383" s="41"/>
      <c r="BA383" s="41"/>
      <c r="BB383" s="41"/>
      <c r="BC383" s="41"/>
      <c r="BD383" s="42"/>
      <c r="BE383" s="41"/>
      <c r="BF383" s="41"/>
      <c r="BG383" s="41"/>
      <c r="BH383" s="42"/>
      <c r="BI383" s="41"/>
      <c r="BJ383" s="41"/>
    </row>
    <row r="384" spans="1:62" s="38" customFormat="1" x14ac:dyDescent="0.25">
      <c r="A384" s="41"/>
      <c r="B384" s="41" t="s">
        <v>1164</v>
      </c>
      <c r="C384" s="41" t="s">
        <v>1165</v>
      </c>
      <c r="D384" s="41"/>
      <c r="E384" s="41" t="s">
        <v>17</v>
      </c>
      <c r="F384" s="41">
        <v>2025</v>
      </c>
      <c r="G384" s="41" t="s">
        <v>1346</v>
      </c>
      <c r="H384" s="41"/>
      <c r="I384" s="43"/>
      <c r="J384" s="41"/>
      <c r="K384" s="41"/>
      <c r="L384" s="41" t="s">
        <v>77</v>
      </c>
      <c r="M384" s="41">
        <v>100946</v>
      </c>
      <c r="N384" s="41" t="s">
        <v>1166</v>
      </c>
      <c r="O384" s="41" t="s">
        <v>67</v>
      </c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1"/>
      <c r="AC384" s="41"/>
      <c r="AD384" s="41"/>
      <c r="AE384" s="41"/>
      <c r="AF384" s="41"/>
      <c r="AG384" s="42"/>
      <c r="AH384" s="41"/>
      <c r="AI384" s="41"/>
      <c r="AJ384" s="41"/>
      <c r="AK384" s="41"/>
      <c r="AL384" s="41"/>
      <c r="AM384" s="41"/>
      <c r="AN384" s="41"/>
      <c r="AO384" s="41"/>
      <c r="AP384" s="41"/>
      <c r="AQ384" s="41"/>
      <c r="AR384" s="41"/>
      <c r="AS384" s="41"/>
      <c r="AT384" s="41"/>
      <c r="AU384" s="41"/>
      <c r="AV384" s="41"/>
      <c r="AW384" s="41"/>
      <c r="AX384" s="41"/>
      <c r="AY384" s="41"/>
      <c r="AZ384" s="41"/>
      <c r="BA384" s="41"/>
      <c r="BB384" s="41"/>
      <c r="BC384" s="41"/>
      <c r="BD384" s="42"/>
      <c r="BE384" s="41"/>
      <c r="BF384" s="41"/>
      <c r="BG384" s="41"/>
      <c r="BH384" s="42"/>
      <c r="BI384" s="41"/>
      <c r="BJ384" s="41"/>
    </row>
    <row r="385" spans="1:62" s="38" customFormat="1" x14ac:dyDescent="0.25">
      <c r="A385" s="41"/>
      <c r="B385" s="41" t="s">
        <v>1167</v>
      </c>
      <c r="C385" s="41" t="s">
        <v>1168</v>
      </c>
      <c r="D385" s="41"/>
      <c r="E385" s="41" t="s">
        <v>17</v>
      </c>
      <c r="F385" s="41">
        <v>2025</v>
      </c>
      <c r="G385" s="41" t="s">
        <v>1346</v>
      </c>
      <c r="H385" s="41"/>
      <c r="I385" s="43"/>
      <c r="J385" s="41"/>
      <c r="K385" s="41"/>
      <c r="L385" s="41" t="s">
        <v>77</v>
      </c>
      <c r="M385" s="41">
        <v>50961</v>
      </c>
      <c r="N385" s="41" t="s">
        <v>1169</v>
      </c>
      <c r="O385" s="41" t="s">
        <v>258</v>
      </c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  <c r="AB385" s="41"/>
      <c r="AC385" s="41"/>
      <c r="AD385" s="41"/>
      <c r="AE385" s="41"/>
      <c r="AF385" s="41"/>
      <c r="AG385" s="42"/>
      <c r="AH385" s="41"/>
      <c r="AI385" s="41"/>
      <c r="AJ385" s="41"/>
      <c r="AK385" s="41"/>
      <c r="AL385" s="41"/>
      <c r="AM385" s="41"/>
      <c r="AN385" s="41"/>
      <c r="AO385" s="41"/>
      <c r="AP385" s="41"/>
      <c r="AQ385" s="41"/>
      <c r="AR385" s="41"/>
      <c r="AS385" s="41"/>
      <c r="AT385" s="41"/>
      <c r="AU385" s="41"/>
      <c r="AV385" s="41"/>
      <c r="AW385" s="41"/>
      <c r="AX385" s="41"/>
      <c r="AY385" s="41"/>
      <c r="AZ385" s="41"/>
      <c r="BA385" s="41"/>
      <c r="BB385" s="41"/>
      <c r="BC385" s="41"/>
      <c r="BD385" s="42"/>
      <c r="BE385" s="41"/>
      <c r="BF385" s="41"/>
      <c r="BG385" s="41"/>
      <c r="BH385" s="42"/>
      <c r="BI385" s="41"/>
      <c r="BJ385" s="41"/>
    </row>
    <row r="386" spans="1:62" s="38" customFormat="1" x14ac:dyDescent="0.25">
      <c r="A386" s="41"/>
      <c r="B386" s="41" t="s">
        <v>90</v>
      </c>
      <c r="C386" s="41" t="s">
        <v>1170</v>
      </c>
      <c r="D386" s="41"/>
      <c r="E386" s="41" t="s">
        <v>17</v>
      </c>
      <c r="F386" s="41">
        <v>2025</v>
      </c>
      <c r="G386" s="41" t="s">
        <v>1346</v>
      </c>
      <c r="H386" s="41"/>
      <c r="I386" s="43"/>
      <c r="J386" s="41"/>
      <c r="K386" s="41"/>
      <c r="L386" s="41" t="s">
        <v>77</v>
      </c>
      <c r="M386" s="41">
        <v>50905</v>
      </c>
      <c r="N386" s="41" t="s">
        <v>1171</v>
      </c>
      <c r="O386" s="41" t="s">
        <v>146</v>
      </c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  <c r="AC386" s="41"/>
      <c r="AD386" s="41"/>
      <c r="AE386" s="41"/>
      <c r="AF386" s="41"/>
      <c r="AG386" s="42"/>
      <c r="AH386" s="41"/>
      <c r="AI386" s="41"/>
      <c r="AJ386" s="41"/>
      <c r="AK386" s="41"/>
      <c r="AL386" s="41"/>
      <c r="AM386" s="41"/>
      <c r="AN386" s="41"/>
      <c r="AO386" s="41"/>
      <c r="AP386" s="41"/>
      <c r="AQ386" s="41"/>
      <c r="AR386" s="41"/>
      <c r="AS386" s="41"/>
      <c r="AT386" s="41"/>
      <c r="AU386" s="41"/>
      <c r="AV386" s="41"/>
      <c r="AW386" s="41"/>
      <c r="AX386" s="41"/>
      <c r="AY386" s="41"/>
      <c r="AZ386" s="41"/>
      <c r="BA386" s="41"/>
      <c r="BB386" s="41"/>
      <c r="BC386" s="41"/>
      <c r="BD386" s="42"/>
      <c r="BE386" s="41"/>
      <c r="BF386" s="41"/>
      <c r="BG386" s="41"/>
      <c r="BH386" s="42"/>
      <c r="BI386" s="41"/>
      <c r="BJ386" s="41"/>
    </row>
    <row r="387" spans="1:62" s="38" customFormat="1" x14ac:dyDescent="0.25">
      <c r="A387" s="41"/>
      <c r="B387" s="41" t="s">
        <v>1173</v>
      </c>
      <c r="C387" s="41" t="s">
        <v>1174</v>
      </c>
      <c r="D387" s="41"/>
      <c r="E387" s="41" t="s">
        <v>17</v>
      </c>
      <c r="F387" s="41">
        <v>2025</v>
      </c>
      <c r="G387" s="41" t="s">
        <v>1346</v>
      </c>
      <c r="H387" s="41"/>
      <c r="I387" s="43"/>
      <c r="J387" s="41"/>
      <c r="K387" s="41"/>
      <c r="L387" s="41" t="s">
        <v>73</v>
      </c>
      <c r="M387" s="41">
        <v>50916</v>
      </c>
      <c r="N387" s="41" t="s">
        <v>1175</v>
      </c>
      <c r="O387" s="41" t="s">
        <v>258</v>
      </c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  <c r="AB387" s="41"/>
      <c r="AC387" s="41"/>
      <c r="AD387" s="41"/>
      <c r="AE387" s="41"/>
      <c r="AF387" s="41"/>
      <c r="AG387" s="42"/>
      <c r="AH387" s="41"/>
      <c r="AI387" s="41"/>
      <c r="AJ387" s="41"/>
      <c r="AK387" s="41"/>
      <c r="AL387" s="41"/>
      <c r="AM387" s="41"/>
      <c r="AN387" s="41"/>
      <c r="AO387" s="41"/>
      <c r="AP387" s="41"/>
      <c r="AQ387" s="41"/>
      <c r="AR387" s="41"/>
      <c r="AS387" s="41"/>
      <c r="AT387" s="41"/>
      <c r="AU387" s="41"/>
      <c r="AV387" s="41"/>
      <c r="AW387" s="41"/>
      <c r="AX387" s="41"/>
      <c r="AY387" s="41"/>
      <c r="AZ387" s="41"/>
      <c r="BA387" s="41"/>
      <c r="BB387" s="41"/>
      <c r="BC387" s="41"/>
      <c r="BD387" s="42"/>
      <c r="BE387" s="41"/>
      <c r="BF387" s="41"/>
      <c r="BG387" s="41"/>
      <c r="BH387" s="42"/>
      <c r="BI387" s="41"/>
      <c r="BJ387" s="41"/>
    </row>
    <row r="388" spans="1:62" s="38" customFormat="1" x14ac:dyDescent="0.25">
      <c r="A388" s="41"/>
      <c r="B388" s="41" t="s">
        <v>90</v>
      </c>
      <c r="C388" s="41" t="s">
        <v>1176</v>
      </c>
      <c r="D388" s="41"/>
      <c r="E388" s="41" t="s">
        <v>17</v>
      </c>
      <c r="F388" s="41">
        <v>2025</v>
      </c>
      <c r="G388" s="41" t="s">
        <v>1346</v>
      </c>
      <c r="H388" s="41"/>
      <c r="I388" s="43"/>
      <c r="J388" s="41"/>
      <c r="K388" s="41"/>
      <c r="L388" s="41" t="s">
        <v>73</v>
      </c>
      <c r="M388" s="41">
        <v>50000</v>
      </c>
      <c r="N388" s="41" t="s">
        <v>1177</v>
      </c>
      <c r="O388" s="41" t="s">
        <v>67</v>
      </c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1"/>
      <c r="AC388" s="41"/>
      <c r="AD388" s="41"/>
      <c r="AE388" s="41"/>
      <c r="AF388" s="41"/>
      <c r="AG388" s="42"/>
      <c r="AH388" s="41"/>
      <c r="AI388" s="41"/>
      <c r="AJ388" s="41"/>
      <c r="AK388" s="41"/>
      <c r="AL388" s="41"/>
      <c r="AM388" s="41"/>
      <c r="AN388" s="41"/>
      <c r="AO388" s="41"/>
      <c r="AP388" s="41"/>
      <c r="AQ388" s="41"/>
      <c r="AR388" s="41"/>
      <c r="AS388" s="41"/>
      <c r="AT388" s="41"/>
      <c r="AU388" s="41"/>
      <c r="AV388" s="41"/>
      <c r="AW388" s="41"/>
      <c r="AX388" s="41"/>
      <c r="AY388" s="41"/>
      <c r="AZ388" s="41"/>
      <c r="BA388" s="41"/>
      <c r="BB388" s="41"/>
      <c r="BC388" s="41"/>
      <c r="BD388" s="42"/>
      <c r="BE388" s="41"/>
      <c r="BF388" s="41"/>
      <c r="BG388" s="41"/>
      <c r="BH388" s="42"/>
      <c r="BI388" s="41"/>
      <c r="BJ388" s="41"/>
    </row>
    <row r="389" spans="1:62" s="38" customFormat="1" x14ac:dyDescent="0.25">
      <c r="A389" s="41"/>
      <c r="B389" s="41" t="s">
        <v>1178</v>
      </c>
      <c r="C389" s="41" t="s">
        <v>1179</v>
      </c>
      <c r="D389" s="41"/>
      <c r="E389" s="41" t="s">
        <v>17</v>
      </c>
      <c r="F389" s="41">
        <v>2025</v>
      </c>
      <c r="G389" s="41" t="s">
        <v>1346</v>
      </c>
      <c r="H389" s="41"/>
      <c r="I389" s="43"/>
      <c r="J389" s="41"/>
      <c r="K389" s="41"/>
      <c r="L389" s="41" t="s">
        <v>77</v>
      </c>
      <c r="M389" s="41">
        <v>100902</v>
      </c>
      <c r="N389" s="41" t="s">
        <v>1180</v>
      </c>
      <c r="O389" s="41" t="s">
        <v>266</v>
      </c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1"/>
      <c r="AC389" s="41"/>
      <c r="AD389" s="41"/>
      <c r="AE389" s="41"/>
      <c r="AF389" s="41"/>
      <c r="AG389" s="42"/>
      <c r="AH389" s="41"/>
      <c r="AI389" s="41"/>
      <c r="AJ389" s="41"/>
      <c r="AK389" s="41"/>
      <c r="AL389" s="41"/>
      <c r="AM389" s="41"/>
      <c r="AN389" s="41"/>
      <c r="AO389" s="41"/>
      <c r="AP389" s="41"/>
      <c r="AQ389" s="41"/>
      <c r="AR389" s="41"/>
      <c r="AS389" s="41"/>
      <c r="AT389" s="41"/>
      <c r="AU389" s="41"/>
      <c r="AV389" s="41"/>
      <c r="AW389" s="41"/>
      <c r="AX389" s="41"/>
      <c r="AY389" s="41"/>
      <c r="AZ389" s="41"/>
      <c r="BA389" s="41"/>
      <c r="BB389" s="41"/>
      <c r="BC389" s="41"/>
      <c r="BD389" s="42"/>
      <c r="BE389" s="41"/>
      <c r="BF389" s="41"/>
      <c r="BG389" s="41"/>
      <c r="BH389" s="42"/>
      <c r="BI389" s="41"/>
      <c r="BJ389" s="41"/>
    </row>
    <row r="390" spans="1:62" s="38" customFormat="1" x14ac:dyDescent="0.25">
      <c r="A390" s="41"/>
      <c r="B390" s="41" t="s">
        <v>1181</v>
      </c>
      <c r="C390" s="41" t="s">
        <v>1182</v>
      </c>
      <c r="D390" s="41"/>
      <c r="E390" s="41" t="s">
        <v>17</v>
      </c>
      <c r="F390" s="41">
        <v>2025</v>
      </c>
      <c r="G390" s="41" t="s">
        <v>1346</v>
      </c>
      <c r="H390" s="41"/>
      <c r="I390" s="43"/>
      <c r="J390" s="41"/>
      <c r="K390" s="41"/>
      <c r="L390" s="41" t="s">
        <v>77</v>
      </c>
      <c r="M390" s="41">
        <v>100988</v>
      </c>
      <c r="N390" s="41" t="s">
        <v>1183</v>
      </c>
      <c r="O390" s="41" t="s">
        <v>67</v>
      </c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1"/>
      <c r="AC390" s="41"/>
      <c r="AD390" s="41"/>
      <c r="AE390" s="41"/>
      <c r="AF390" s="41"/>
      <c r="AG390" s="42"/>
      <c r="AH390" s="41"/>
      <c r="AI390" s="41"/>
      <c r="AJ390" s="41"/>
      <c r="AK390" s="41"/>
      <c r="AL390" s="41"/>
      <c r="AM390" s="41"/>
      <c r="AN390" s="41"/>
      <c r="AO390" s="41"/>
      <c r="AP390" s="41"/>
      <c r="AQ390" s="41"/>
      <c r="AR390" s="41"/>
      <c r="AS390" s="41"/>
      <c r="AT390" s="41"/>
      <c r="AU390" s="41"/>
      <c r="AV390" s="41"/>
      <c r="AW390" s="41"/>
      <c r="AX390" s="41"/>
      <c r="AY390" s="41"/>
      <c r="AZ390" s="41"/>
      <c r="BA390" s="41"/>
      <c r="BB390" s="41"/>
      <c r="BC390" s="41"/>
      <c r="BD390" s="42"/>
      <c r="BE390" s="41"/>
      <c r="BF390" s="41"/>
      <c r="BG390" s="41"/>
      <c r="BH390" s="42"/>
      <c r="BI390" s="41"/>
      <c r="BJ390" s="41"/>
    </row>
    <row r="391" spans="1:62" s="38" customFormat="1" x14ac:dyDescent="0.25">
      <c r="A391" s="41"/>
      <c r="B391" s="41" t="s">
        <v>376</v>
      </c>
      <c r="C391" s="41" t="s">
        <v>1184</v>
      </c>
      <c r="D391" s="41"/>
      <c r="E391" s="41" t="s">
        <v>17</v>
      </c>
      <c r="F391" s="41">
        <v>2025</v>
      </c>
      <c r="G391" s="41" t="s">
        <v>1346</v>
      </c>
      <c r="H391" s="41"/>
      <c r="I391" s="43"/>
      <c r="J391" s="41"/>
      <c r="K391" s="41"/>
      <c r="L391" s="41" t="s">
        <v>73</v>
      </c>
      <c r="M391" s="41">
        <v>100914</v>
      </c>
      <c r="N391" s="41" t="s">
        <v>1185</v>
      </c>
      <c r="O391" s="41" t="s">
        <v>111</v>
      </c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1"/>
      <c r="AC391" s="41"/>
      <c r="AD391" s="41"/>
      <c r="AE391" s="41"/>
      <c r="AF391" s="41"/>
      <c r="AG391" s="42"/>
      <c r="AH391" s="41"/>
      <c r="AI391" s="41"/>
      <c r="AJ391" s="41"/>
      <c r="AK391" s="41"/>
      <c r="AL391" s="41"/>
      <c r="AM391" s="41"/>
      <c r="AN391" s="41"/>
      <c r="AO391" s="41"/>
      <c r="AP391" s="41"/>
      <c r="AQ391" s="41"/>
      <c r="AR391" s="41"/>
      <c r="AS391" s="41"/>
      <c r="AT391" s="41"/>
      <c r="AU391" s="41"/>
      <c r="AV391" s="41"/>
      <c r="AW391" s="41"/>
      <c r="AX391" s="41"/>
      <c r="AY391" s="41"/>
      <c r="AZ391" s="41"/>
      <c r="BA391" s="41"/>
      <c r="BB391" s="41"/>
      <c r="BC391" s="41"/>
      <c r="BD391" s="42"/>
      <c r="BE391" s="41"/>
      <c r="BF391" s="41"/>
      <c r="BG391" s="41"/>
      <c r="BH391" s="42"/>
      <c r="BI391" s="41"/>
      <c r="BJ391" s="41"/>
    </row>
    <row r="392" spans="1:62" s="38" customFormat="1" x14ac:dyDescent="0.25">
      <c r="A392" s="41"/>
      <c r="B392" s="41" t="s">
        <v>1186</v>
      </c>
      <c r="C392" s="41" t="s">
        <v>1187</v>
      </c>
      <c r="D392" s="41"/>
      <c r="E392" s="41" t="s">
        <v>17</v>
      </c>
      <c r="F392" s="41">
        <v>2025</v>
      </c>
      <c r="G392" s="41" t="s">
        <v>1346</v>
      </c>
      <c r="H392" s="41"/>
      <c r="I392" s="43"/>
      <c r="J392" s="41"/>
      <c r="K392" s="41"/>
      <c r="L392" s="41" t="s">
        <v>268</v>
      </c>
      <c r="M392" s="41">
        <v>50969</v>
      </c>
      <c r="N392" s="41" t="s">
        <v>1188</v>
      </c>
      <c r="O392" s="41" t="s">
        <v>258</v>
      </c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  <c r="AC392" s="41"/>
      <c r="AD392" s="41"/>
      <c r="AE392" s="41"/>
      <c r="AF392" s="41"/>
      <c r="AG392" s="42"/>
      <c r="AH392" s="41"/>
      <c r="AI392" s="41"/>
      <c r="AJ392" s="41"/>
      <c r="AK392" s="41"/>
      <c r="AL392" s="41"/>
      <c r="AM392" s="41"/>
      <c r="AN392" s="41"/>
      <c r="AO392" s="41"/>
      <c r="AP392" s="41"/>
      <c r="AQ392" s="41"/>
      <c r="AR392" s="41"/>
      <c r="AS392" s="41"/>
      <c r="AT392" s="41"/>
      <c r="AU392" s="41"/>
      <c r="AV392" s="41"/>
      <c r="AW392" s="41"/>
      <c r="AX392" s="41"/>
      <c r="AY392" s="41"/>
      <c r="AZ392" s="41"/>
      <c r="BA392" s="41"/>
      <c r="BB392" s="41"/>
      <c r="BC392" s="41"/>
      <c r="BD392" s="42"/>
      <c r="BE392" s="41"/>
      <c r="BF392" s="41"/>
      <c r="BG392" s="41"/>
      <c r="BH392" s="42"/>
      <c r="BI392" s="41"/>
      <c r="BJ392" s="41"/>
    </row>
    <row r="393" spans="1:62" s="38" customFormat="1" x14ac:dyDescent="0.25">
      <c r="A393" s="41"/>
      <c r="B393" s="41" t="s">
        <v>1189</v>
      </c>
      <c r="C393" s="41" t="s">
        <v>1190</v>
      </c>
      <c r="D393" s="41"/>
      <c r="E393" s="41" t="s">
        <v>17</v>
      </c>
      <c r="F393" s="41">
        <v>2025</v>
      </c>
      <c r="G393" s="41" t="s">
        <v>1346</v>
      </c>
      <c r="H393" s="41"/>
      <c r="I393" s="43"/>
      <c r="J393" s="41"/>
      <c r="K393" s="41"/>
      <c r="L393" s="41" t="s">
        <v>73</v>
      </c>
      <c r="M393" s="41">
        <v>51000</v>
      </c>
      <c r="N393" s="41" t="s">
        <v>1191</v>
      </c>
      <c r="O393" s="41" t="s">
        <v>258</v>
      </c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1"/>
      <c r="AC393" s="41"/>
      <c r="AD393" s="41"/>
      <c r="AE393" s="41"/>
      <c r="AF393" s="41"/>
      <c r="AG393" s="42"/>
      <c r="AH393" s="41"/>
      <c r="AI393" s="41"/>
      <c r="AJ393" s="41"/>
      <c r="AK393" s="41"/>
      <c r="AL393" s="41"/>
      <c r="AM393" s="41"/>
      <c r="AN393" s="41"/>
      <c r="AO393" s="41"/>
      <c r="AP393" s="41"/>
      <c r="AQ393" s="41"/>
      <c r="AR393" s="41"/>
      <c r="AS393" s="41"/>
      <c r="AT393" s="41"/>
      <c r="AU393" s="41"/>
      <c r="AV393" s="41"/>
      <c r="AW393" s="41"/>
      <c r="AX393" s="41"/>
      <c r="AY393" s="41"/>
      <c r="AZ393" s="41"/>
      <c r="BA393" s="41"/>
      <c r="BB393" s="41"/>
      <c r="BC393" s="41"/>
      <c r="BD393" s="42"/>
      <c r="BE393" s="41"/>
      <c r="BF393" s="41"/>
      <c r="BG393" s="41"/>
      <c r="BH393" s="42"/>
      <c r="BI393" s="41"/>
      <c r="BJ393" s="41"/>
    </row>
    <row r="394" spans="1:62" s="38" customFormat="1" x14ac:dyDescent="0.25">
      <c r="A394" s="41"/>
      <c r="B394" s="41" t="s">
        <v>1192</v>
      </c>
      <c r="C394" s="41" t="s">
        <v>1193</v>
      </c>
      <c r="D394" s="41"/>
      <c r="E394" s="41" t="s">
        <v>17</v>
      </c>
      <c r="F394" s="41">
        <v>2025</v>
      </c>
      <c r="G394" s="41" t="s">
        <v>1346</v>
      </c>
      <c r="H394" s="41"/>
      <c r="I394" s="43"/>
      <c r="J394" s="41"/>
      <c r="K394" s="41"/>
      <c r="L394" s="41" t="s">
        <v>268</v>
      </c>
      <c r="M394" s="41">
        <v>100971</v>
      </c>
      <c r="N394" s="41" t="s">
        <v>1194</v>
      </c>
      <c r="O394" s="41" t="s">
        <v>258</v>
      </c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1"/>
      <c r="AC394" s="41"/>
      <c r="AD394" s="41"/>
      <c r="AE394" s="41"/>
      <c r="AF394" s="41"/>
      <c r="AG394" s="42"/>
      <c r="AH394" s="41"/>
      <c r="AI394" s="41"/>
      <c r="AJ394" s="41"/>
      <c r="AK394" s="41"/>
      <c r="AL394" s="41"/>
      <c r="AM394" s="41"/>
      <c r="AN394" s="41"/>
      <c r="AO394" s="41"/>
      <c r="AP394" s="41"/>
      <c r="AQ394" s="41"/>
      <c r="AR394" s="41"/>
      <c r="AS394" s="41"/>
      <c r="AT394" s="41"/>
      <c r="AU394" s="41"/>
      <c r="AV394" s="41"/>
      <c r="AW394" s="41"/>
      <c r="AX394" s="41"/>
      <c r="AY394" s="41"/>
      <c r="AZ394" s="41"/>
      <c r="BA394" s="41"/>
      <c r="BB394" s="41"/>
      <c r="BC394" s="41"/>
      <c r="BD394" s="42"/>
      <c r="BE394" s="41"/>
      <c r="BF394" s="41"/>
      <c r="BG394" s="41"/>
      <c r="BH394" s="42"/>
      <c r="BI394" s="41"/>
      <c r="BJ394" s="41"/>
    </row>
    <row r="395" spans="1:62" s="38" customFormat="1" x14ac:dyDescent="0.25">
      <c r="A395" s="41"/>
      <c r="B395" s="41" t="s">
        <v>90</v>
      </c>
      <c r="C395" s="41" t="s">
        <v>1196</v>
      </c>
      <c r="D395" s="41"/>
      <c r="E395" s="41" t="s">
        <v>17</v>
      </c>
      <c r="F395" s="41">
        <v>2025</v>
      </c>
      <c r="G395" s="41" t="s">
        <v>1346</v>
      </c>
      <c r="H395" s="41"/>
      <c r="I395" s="43"/>
      <c r="J395" s="41"/>
      <c r="K395" s="41"/>
      <c r="L395" s="41" t="s">
        <v>73</v>
      </c>
      <c r="M395" s="41">
        <v>100943</v>
      </c>
      <c r="N395" s="41" t="s">
        <v>1197</v>
      </c>
      <c r="O395" s="41" t="s">
        <v>272</v>
      </c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  <c r="AB395" s="41"/>
      <c r="AC395" s="41"/>
      <c r="AD395" s="41"/>
      <c r="AE395" s="41"/>
      <c r="AF395" s="41"/>
      <c r="AG395" s="42"/>
      <c r="AH395" s="41"/>
      <c r="AI395" s="41"/>
      <c r="AJ395" s="41"/>
      <c r="AK395" s="41"/>
      <c r="AL395" s="41"/>
      <c r="AM395" s="41"/>
      <c r="AN395" s="41"/>
      <c r="AO395" s="41"/>
      <c r="AP395" s="41"/>
      <c r="AQ395" s="41"/>
      <c r="AR395" s="41"/>
      <c r="AS395" s="41"/>
      <c r="AT395" s="41"/>
      <c r="AU395" s="41"/>
      <c r="AV395" s="41"/>
      <c r="AW395" s="41"/>
      <c r="AX395" s="41"/>
      <c r="AY395" s="41"/>
      <c r="AZ395" s="41"/>
      <c r="BA395" s="41"/>
      <c r="BB395" s="41"/>
      <c r="BC395" s="41"/>
      <c r="BD395" s="42"/>
      <c r="BE395" s="41"/>
      <c r="BF395" s="41"/>
      <c r="BG395" s="41"/>
      <c r="BH395" s="42"/>
      <c r="BI395" s="41"/>
      <c r="BJ395" s="41"/>
    </row>
    <row r="396" spans="1:62" s="38" customFormat="1" x14ac:dyDescent="0.25">
      <c r="A396" s="41"/>
      <c r="B396" s="41" t="s">
        <v>1198</v>
      </c>
      <c r="C396" s="41" t="s">
        <v>1199</v>
      </c>
      <c r="D396" s="41"/>
      <c r="E396" s="41" t="s">
        <v>17</v>
      </c>
      <c r="F396" s="41">
        <v>2025</v>
      </c>
      <c r="G396" s="41" t="s">
        <v>1346</v>
      </c>
      <c r="H396" s="41"/>
      <c r="I396" s="43"/>
      <c r="J396" s="41"/>
      <c r="K396" s="41"/>
      <c r="L396" s="41" t="s">
        <v>268</v>
      </c>
      <c r="M396" s="41">
        <v>50901</v>
      </c>
      <c r="N396" s="41" t="s">
        <v>1200</v>
      </c>
      <c r="O396" s="41" t="s">
        <v>258</v>
      </c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  <c r="AB396" s="41"/>
      <c r="AC396" s="41"/>
      <c r="AD396" s="41"/>
      <c r="AE396" s="41"/>
      <c r="AF396" s="41"/>
      <c r="AG396" s="42"/>
      <c r="AH396" s="41"/>
      <c r="AI396" s="41"/>
      <c r="AJ396" s="41"/>
      <c r="AK396" s="41"/>
      <c r="AL396" s="41"/>
      <c r="AM396" s="41"/>
      <c r="AN396" s="41"/>
      <c r="AO396" s="41"/>
      <c r="AP396" s="41"/>
      <c r="AQ396" s="41"/>
      <c r="AR396" s="41"/>
      <c r="AS396" s="41"/>
      <c r="AT396" s="41"/>
      <c r="AU396" s="41"/>
      <c r="AV396" s="41"/>
      <c r="AW396" s="41"/>
      <c r="AX396" s="41"/>
      <c r="AY396" s="41"/>
      <c r="AZ396" s="41"/>
      <c r="BA396" s="41"/>
      <c r="BB396" s="41"/>
      <c r="BC396" s="41"/>
      <c r="BD396" s="42"/>
      <c r="BE396" s="41"/>
      <c r="BF396" s="41"/>
      <c r="BG396" s="41"/>
      <c r="BH396" s="42"/>
      <c r="BI396" s="41"/>
      <c r="BJ396" s="41"/>
    </row>
    <row r="397" spans="1:62" s="38" customFormat="1" x14ac:dyDescent="0.25">
      <c r="A397" s="41"/>
      <c r="B397" s="41" t="s">
        <v>439</v>
      </c>
      <c r="C397" s="41" t="s">
        <v>1201</v>
      </c>
      <c r="D397" s="41"/>
      <c r="E397" s="41" t="s">
        <v>17</v>
      </c>
      <c r="F397" s="41">
        <v>2025</v>
      </c>
      <c r="G397" s="41" t="s">
        <v>1346</v>
      </c>
      <c r="H397" s="41"/>
      <c r="I397" s="43"/>
      <c r="J397" s="41"/>
      <c r="K397" s="41"/>
      <c r="L397" s="41" t="s">
        <v>73</v>
      </c>
      <c r="M397" s="41">
        <v>50000</v>
      </c>
      <c r="N397" s="41" t="s">
        <v>1202</v>
      </c>
      <c r="O397" s="41" t="s">
        <v>386</v>
      </c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1"/>
      <c r="AC397" s="41"/>
      <c r="AD397" s="41"/>
      <c r="AE397" s="41"/>
      <c r="AF397" s="41"/>
      <c r="AG397" s="42"/>
      <c r="AH397" s="41"/>
      <c r="AI397" s="41"/>
      <c r="AJ397" s="41"/>
      <c r="AK397" s="41"/>
      <c r="AL397" s="41"/>
      <c r="AM397" s="41"/>
      <c r="AN397" s="41"/>
      <c r="AO397" s="41"/>
      <c r="AP397" s="41"/>
      <c r="AQ397" s="41"/>
      <c r="AR397" s="41"/>
      <c r="AS397" s="41"/>
      <c r="AT397" s="41"/>
      <c r="AU397" s="41"/>
      <c r="AV397" s="41"/>
      <c r="AW397" s="41"/>
      <c r="AX397" s="41"/>
      <c r="AY397" s="41"/>
      <c r="AZ397" s="41"/>
      <c r="BA397" s="41"/>
      <c r="BB397" s="41"/>
      <c r="BC397" s="41"/>
      <c r="BD397" s="42"/>
      <c r="BE397" s="41"/>
      <c r="BF397" s="41"/>
      <c r="BG397" s="41"/>
      <c r="BH397" s="42"/>
      <c r="BI397" s="41"/>
      <c r="BJ397" s="41"/>
    </row>
    <row r="398" spans="1:62" s="38" customFormat="1" x14ac:dyDescent="0.25">
      <c r="A398" s="41"/>
      <c r="B398" s="41" t="s">
        <v>1203</v>
      </c>
      <c r="C398" s="41" t="s">
        <v>1204</v>
      </c>
      <c r="D398" s="41"/>
      <c r="E398" s="41" t="s">
        <v>17</v>
      </c>
      <c r="F398" s="41">
        <v>2025</v>
      </c>
      <c r="G398" s="41" t="s">
        <v>1346</v>
      </c>
      <c r="H398" s="41"/>
      <c r="I398" s="43"/>
      <c r="J398" s="41"/>
      <c r="K398" s="41"/>
      <c r="L398" s="41" t="s">
        <v>73</v>
      </c>
      <c r="M398" s="41">
        <v>100967</v>
      </c>
      <c r="N398" s="41" t="s">
        <v>1205</v>
      </c>
      <c r="O398" s="41" t="s">
        <v>67</v>
      </c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  <c r="AC398" s="41"/>
      <c r="AD398" s="41"/>
      <c r="AE398" s="41"/>
      <c r="AF398" s="41"/>
      <c r="AG398" s="42"/>
      <c r="AH398" s="41"/>
      <c r="AI398" s="41"/>
      <c r="AJ398" s="41"/>
      <c r="AK398" s="41"/>
      <c r="AL398" s="41"/>
      <c r="AM398" s="41"/>
      <c r="AN398" s="41"/>
      <c r="AO398" s="41"/>
      <c r="AP398" s="41"/>
      <c r="AQ398" s="41"/>
      <c r="AR398" s="41"/>
      <c r="AS398" s="41"/>
      <c r="AT398" s="41"/>
      <c r="AU398" s="41"/>
      <c r="AV398" s="41"/>
      <c r="AW398" s="41"/>
      <c r="AX398" s="41"/>
      <c r="AY398" s="41"/>
      <c r="AZ398" s="41"/>
      <c r="BA398" s="41"/>
      <c r="BB398" s="41"/>
      <c r="BC398" s="41"/>
      <c r="BD398" s="42"/>
      <c r="BE398" s="41"/>
      <c r="BF398" s="41"/>
      <c r="BG398" s="41"/>
      <c r="BH398" s="42"/>
      <c r="BI398" s="41"/>
      <c r="BJ398" s="41"/>
    </row>
    <row r="399" spans="1:62" s="38" customFormat="1" x14ac:dyDescent="0.25">
      <c r="A399" s="41"/>
      <c r="B399" s="41" t="s">
        <v>1203</v>
      </c>
      <c r="C399" s="41" t="s">
        <v>1206</v>
      </c>
      <c r="D399" s="41"/>
      <c r="E399" s="41" t="s">
        <v>17</v>
      </c>
      <c r="F399" s="41">
        <v>2025</v>
      </c>
      <c r="G399" s="41" t="s">
        <v>1346</v>
      </c>
      <c r="H399" s="41"/>
      <c r="I399" s="43"/>
      <c r="J399" s="41"/>
      <c r="K399" s="41"/>
      <c r="L399" s="41" t="s">
        <v>73</v>
      </c>
      <c r="M399" s="41">
        <v>100000</v>
      </c>
      <c r="N399" s="41" t="s">
        <v>1207</v>
      </c>
      <c r="O399" s="41" t="s">
        <v>67</v>
      </c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  <c r="AB399" s="41"/>
      <c r="AC399" s="41"/>
      <c r="AD399" s="41"/>
      <c r="AE399" s="41"/>
      <c r="AF399" s="41"/>
      <c r="AG399" s="42"/>
      <c r="AH399" s="41"/>
      <c r="AI399" s="41"/>
      <c r="AJ399" s="41"/>
      <c r="AK399" s="41"/>
      <c r="AL399" s="41"/>
      <c r="AM399" s="41"/>
      <c r="AN399" s="41"/>
      <c r="AO399" s="41"/>
      <c r="AP399" s="41"/>
      <c r="AQ399" s="41"/>
      <c r="AR399" s="41"/>
      <c r="AS399" s="41"/>
      <c r="AT399" s="41"/>
      <c r="AU399" s="41"/>
      <c r="AV399" s="41"/>
      <c r="AW399" s="41"/>
      <c r="AX399" s="41"/>
      <c r="AY399" s="41"/>
      <c r="AZ399" s="41"/>
      <c r="BA399" s="41"/>
      <c r="BB399" s="41"/>
      <c r="BC399" s="41"/>
      <c r="BD399" s="42"/>
      <c r="BE399" s="41"/>
      <c r="BF399" s="41"/>
      <c r="BG399" s="41"/>
      <c r="BH399" s="42"/>
      <c r="BI399" s="41"/>
      <c r="BJ399" s="41"/>
    </row>
    <row r="400" spans="1:62" s="38" customFormat="1" x14ac:dyDescent="0.25">
      <c r="A400" s="41"/>
      <c r="B400" s="41" t="s">
        <v>1208</v>
      </c>
      <c r="C400" s="41" t="s">
        <v>1209</v>
      </c>
      <c r="D400" s="41"/>
      <c r="E400" s="41" t="s">
        <v>17</v>
      </c>
      <c r="F400" s="41">
        <v>2025</v>
      </c>
      <c r="G400" s="41" t="s">
        <v>1346</v>
      </c>
      <c r="H400" s="41"/>
      <c r="I400" s="43"/>
      <c r="J400" s="41"/>
      <c r="K400" s="41"/>
      <c r="L400" s="41" t="s">
        <v>73</v>
      </c>
      <c r="M400" s="41">
        <v>150985</v>
      </c>
      <c r="N400" s="41" t="s">
        <v>1210</v>
      </c>
      <c r="O400" s="41" t="s">
        <v>319</v>
      </c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1"/>
      <c r="AC400" s="41"/>
      <c r="AD400" s="41"/>
      <c r="AE400" s="41"/>
      <c r="AF400" s="41"/>
      <c r="AG400" s="42"/>
      <c r="AH400" s="41"/>
      <c r="AI400" s="41"/>
      <c r="AJ400" s="41"/>
      <c r="AK400" s="41"/>
      <c r="AL400" s="41"/>
      <c r="AM400" s="41"/>
      <c r="AN400" s="41"/>
      <c r="AO400" s="41"/>
      <c r="AP400" s="41"/>
      <c r="AQ400" s="41"/>
      <c r="AR400" s="41"/>
      <c r="AS400" s="41"/>
      <c r="AT400" s="41"/>
      <c r="AU400" s="41"/>
      <c r="AV400" s="41"/>
      <c r="AW400" s="41"/>
      <c r="AX400" s="41"/>
      <c r="AY400" s="41"/>
      <c r="AZ400" s="41"/>
      <c r="BA400" s="41"/>
      <c r="BB400" s="41"/>
      <c r="BC400" s="41"/>
      <c r="BD400" s="42"/>
      <c r="BE400" s="41"/>
      <c r="BF400" s="41"/>
      <c r="BG400" s="41"/>
      <c r="BH400" s="42"/>
      <c r="BI400" s="41"/>
      <c r="BJ400" s="41"/>
    </row>
    <row r="401" spans="1:62" s="38" customFormat="1" x14ac:dyDescent="0.25">
      <c r="A401" s="41"/>
      <c r="B401" s="41" t="s">
        <v>1211</v>
      </c>
      <c r="C401" s="41" t="s">
        <v>1212</v>
      </c>
      <c r="D401" s="41"/>
      <c r="E401" s="41" t="s">
        <v>17</v>
      </c>
      <c r="F401" s="41">
        <v>2025</v>
      </c>
      <c r="G401" s="41" t="s">
        <v>1346</v>
      </c>
      <c r="H401" s="41"/>
      <c r="I401" s="43"/>
      <c r="J401" s="41"/>
      <c r="K401" s="41"/>
      <c r="L401" s="41" t="s">
        <v>73</v>
      </c>
      <c r="M401" s="41">
        <v>100983</v>
      </c>
      <c r="N401" s="41" t="s">
        <v>1213</v>
      </c>
      <c r="O401" s="41" t="s">
        <v>106</v>
      </c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1"/>
      <c r="AC401" s="41"/>
      <c r="AD401" s="41"/>
      <c r="AE401" s="41"/>
      <c r="AF401" s="41"/>
      <c r="AG401" s="42"/>
      <c r="AH401" s="41"/>
      <c r="AI401" s="41"/>
      <c r="AJ401" s="41"/>
      <c r="AK401" s="41"/>
      <c r="AL401" s="41"/>
      <c r="AM401" s="41"/>
      <c r="AN401" s="41"/>
      <c r="AO401" s="41"/>
      <c r="AP401" s="41"/>
      <c r="AQ401" s="41"/>
      <c r="AR401" s="41"/>
      <c r="AS401" s="41"/>
      <c r="AT401" s="41"/>
      <c r="AU401" s="41"/>
      <c r="AV401" s="41"/>
      <c r="AW401" s="41"/>
      <c r="AX401" s="41"/>
      <c r="AY401" s="41"/>
      <c r="AZ401" s="41"/>
      <c r="BA401" s="41"/>
      <c r="BB401" s="41"/>
      <c r="BC401" s="41"/>
      <c r="BD401" s="42"/>
      <c r="BE401" s="41"/>
      <c r="BF401" s="41"/>
      <c r="BG401" s="41"/>
      <c r="BH401" s="42"/>
      <c r="BI401" s="41"/>
      <c r="BJ401" s="41"/>
    </row>
    <row r="402" spans="1:62" s="38" customFormat="1" x14ac:dyDescent="0.25">
      <c r="A402" s="41"/>
      <c r="B402" s="41" t="s">
        <v>1214</v>
      </c>
      <c r="C402" s="41" t="s">
        <v>1215</v>
      </c>
      <c r="D402" s="41"/>
      <c r="E402" s="41" t="s">
        <v>17</v>
      </c>
      <c r="F402" s="41">
        <v>2025</v>
      </c>
      <c r="G402" s="41" t="s">
        <v>1346</v>
      </c>
      <c r="H402" s="41"/>
      <c r="I402" s="43"/>
      <c r="J402" s="41"/>
      <c r="K402" s="41"/>
      <c r="L402" s="41" t="s">
        <v>73</v>
      </c>
      <c r="M402" s="41">
        <v>100972</v>
      </c>
      <c r="N402" s="41" t="s">
        <v>804</v>
      </c>
      <c r="O402" s="41" t="s">
        <v>79</v>
      </c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  <c r="AB402" s="41"/>
      <c r="AC402" s="41"/>
      <c r="AD402" s="41"/>
      <c r="AE402" s="41"/>
      <c r="AF402" s="41"/>
      <c r="AG402" s="42"/>
      <c r="AH402" s="41"/>
      <c r="AI402" s="41"/>
      <c r="AJ402" s="41"/>
      <c r="AK402" s="41"/>
      <c r="AL402" s="41"/>
      <c r="AM402" s="41"/>
      <c r="AN402" s="41"/>
      <c r="AO402" s="41"/>
      <c r="AP402" s="41"/>
      <c r="AQ402" s="41"/>
      <c r="AR402" s="41"/>
      <c r="AS402" s="41"/>
      <c r="AT402" s="41"/>
      <c r="AU402" s="41"/>
      <c r="AV402" s="41"/>
      <c r="AW402" s="41"/>
      <c r="AX402" s="41"/>
      <c r="AY402" s="41"/>
      <c r="AZ402" s="41"/>
      <c r="BA402" s="41"/>
      <c r="BB402" s="41"/>
      <c r="BC402" s="41"/>
      <c r="BD402" s="42"/>
      <c r="BE402" s="41"/>
      <c r="BF402" s="41"/>
      <c r="BG402" s="41"/>
      <c r="BH402" s="42"/>
      <c r="BI402" s="41"/>
      <c r="BJ402" s="41"/>
    </row>
    <row r="403" spans="1:62" s="38" customFormat="1" x14ac:dyDescent="0.25">
      <c r="A403" s="41"/>
      <c r="B403" s="41" t="s">
        <v>1216</v>
      </c>
      <c r="C403" s="41" t="s">
        <v>1217</v>
      </c>
      <c r="D403" s="41"/>
      <c r="E403" s="41" t="s">
        <v>17</v>
      </c>
      <c r="F403" s="41">
        <v>2025</v>
      </c>
      <c r="G403" s="41" t="s">
        <v>1346</v>
      </c>
      <c r="H403" s="41"/>
      <c r="I403" s="43"/>
      <c r="J403" s="41"/>
      <c r="K403" s="41"/>
      <c r="L403" s="41" t="s">
        <v>268</v>
      </c>
      <c r="M403" s="41">
        <v>100909</v>
      </c>
      <c r="N403" s="41" t="s">
        <v>1218</v>
      </c>
      <c r="O403" s="41" t="s">
        <v>111</v>
      </c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  <c r="AB403" s="41"/>
      <c r="AC403" s="41"/>
      <c r="AD403" s="41"/>
      <c r="AE403" s="41"/>
      <c r="AF403" s="41"/>
      <c r="AG403" s="42"/>
      <c r="AH403" s="41"/>
      <c r="AI403" s="41"/>
      <c r="AJ403" s="41"/>
      <c r="AK403" s="41"/>
      <c r="AL403" s="41"/>
      <c r="AM403" s="41"/>
      <c r="AN403" s="41"/>
      <c r="AO403" s="41"/>
      <c r="AP403" s="41"/>
      <c r="AQ403" s="41"/>
      <c r="AR403" s="41"/>
      <c r="AS403" s="41"/>
      <c r="AT403" s="41"/>
      <c r="AU403" s="41"/>
      <c r="AV403" s="41"/>
      <c r="AW403" s="41"/>
      <c r="AX403" s="41"/>
      <c r="AY403" s="41"/>
      <c r="AZ403" s="41"/>
      <c r="BA403" s="41"/>
      <c r="BB403" s="41"/>
      <c r="BC403" s="41"/>
      <c r="BD403" s="42"/>
      <c r="BE403" s="41"/>
      <c r="BF403" s="41"/>
      <c r="BG403" s="41"/>
      <c r="BH403" s="42"/>
      <c r="BI403" s="41"/>
      <c r="BJ403" s="41"/>
    </row>
    <row r="404" spans="1:62" s="38" customFormat="1" x14ac:dyDescent="0.25">
      <c r="A404" s="41"/>
      <c r="B404" s="41" t="s">
        <v>1219</v>
      </c>
      <c r="C404" s="41" t="s">
        <v>1220</v>
      </c>
      <c r="D404" s="41"/>
      <c r="E404" s="41" t="s">
        <v>17</v>
      </c>
      <c r="F404" s="41">
        <v>2025</v>
      </c>
      <c r="G404" s="41" t="s">
        <v>1346</v>
      </c>
      <c r="H404" s="41"/>
      <c r="I404" s="43"/>
      <c r="J404" s="41"/>
      <c r="K404" s="41"/>
      <c r="L404" s="41" t="s">
        <v>77</v>
      </c>
      <c r="M404" s="41">
        <v>50944</v>
      </c>
      <c r="N404" s="41" t="s">
        <v>1221</v>
      </c>
      <c r="O404" s="41" t="s">
        <v>67</v>
      </c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1"/>
      <c r="AC404" s="41"/>
      <c r="AD404" s="41"/>
      <c r="AE404" s="41"/>
      <c r="AF404" s="41"/>
      <c r="AG404" s="42"/>
      <c r="AH404" s="41"/>
      <c r="AI404" s="41"/>
      <c r="AJ404" s="41"/>
      <c r="AK404" s="41"/>
      <c r="AL404" s="41"/>
      <c r="AM404" s="41"/>
      <c r="AN404" s="41"/>
      <c r="AO404" s="41"/>
      <c r="AP404" s="41"/>
      <c r="AQ404" s="41"/>
      <c r="AR404" s="41"/>
      <c r="AS404" s="41"/>
      <c r="AT404" s="41"/>
      <c r="AU404" s="41"/>
      <c r="AV404" s="41"/>
      <c r="AW404" s="41"/>
      <c r="AX404" s="41"/>
      <c r="AY404" s="41"/>
      <c r="AZ404" s="41"/>
      <c r="BA404" s="41"/>
      <c r="BB404" s="41"/>
      <c r="BC404" s="41"/>
      <c r="BD404" s="42"/>
      <c r="BE404" s="41"/>
      <c r="BF404" s="41"/>
      <c r="BG404" s="41"/>
      <c r="BH404" s="42"/>
      <c r="BI404" s="41"/>
      <c r="BJ404" s="41"/>
    </row>
    <row r="405" spans="1:62" s="38" customFormat="1" x14ac:dyDescent="0.25">
      <c r="A405" s="41"/>
      <c r="B405" s="41" t="s">
        <v>222</v>
      </c>
      <c r="C405" s="41" t="s">
        <v>1222</v>
      </c>
      <c r="D405" s="41"/>
      <c r="E405" s="41" t="s">
        <v>17</v>
      </c>
      <c r="F405" s="41">
        <v>2025</v>
      </c>
      <c r="G405" s="41" t="s">
        <v>1346</v>
      </c>
      <c r="H405" s="41"/>
      <c r="I405" s="43"/>
      <c r="J405" s="41"/>
      <c r="K405" s="41"/>
      <c r="L405" s="41" t="s">
        <v>73</v>
      </c>
      <c r="M405" s="41">
        <v>50983</v>
      </c>
      <c r="N405" s="41" t="s">
        <v>1223</v>
      </c>
      <c r="O405" s="41" t="s">
        <v>99</v>
      </c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1"/>
      <c r="AC405" s="41"/>
      <c r="AD405" s="41"/>
      <c r="AE405" s="41"/>
      <c r="AF405" s="41"/>
      <c r="AG405" s="42"/>
      <c r="AH405" s="41"/>
      <c r="AI405" s="41"/>
      <c r="AJ405" s="41"/>
      <c r="AK405" s="41"/>
      <c r="AL405" s="41"/>
      <c r="AM405" s="41"/>
      <c r="AN405" s="41"/>
      <c r="AO405" s="41"/>
      <c r="AP405" s="41"/>
      <c r="AQ405" s="41"/>
      <c r="AR405" s="41"/>
      <c r="AS405" s="41"/>
      <c r="AT405" s="41"/>
      <c r="AU405" s="41"/>
      <c r="AV405" s="41"/>
      <c r="AW405" s="41"/>
      <c r="AX405" s="41"/>
      <c r="AY405" s="41"/>
      <c r="AZ405" s="41"/>
      <c r="BA405" s="41"/>
      <c r="BB405" s="41"/>
      <c r="BC405" s="41"/>
      <c r="BD405" s="42"/>
      <c r="BE405" s="41"/>
      <c r="BF405" s="41"/>
      <c r="BG405" s="41"/>
      <c r="BH405" s="42"/>
      <c r="BI405" s="41"/>
      <c r="BJ405" s="41"/>
    </row>
    <row r="406" spans="1:62" s="38" customFormat="1" x14ac:dyDescent="0.25">
      <c r="A406" s="41"/>
      <c r="B406" s="41" t="s">
        <v>1224</v>
      </c>
      <c r="C406" s="41" t="s">
        <v>1225</v>
      </c>
      <c r="D406" s="41"/>
      <c r="E406" s="41" t="s">
        <v>17</v>
      </c>
      <c r="F406" s="41">
        <v>2025</v>
      </c>
      <c r="G406" s="41" t="s">
        <v>1346</v>
      </c>
      <c r="H406" s="41"/>
      <c r="I406" s="43"/>
      <c r="J406" s="41"/>
      <c r="K406" s="41"/>
      <c r="L406" s="41" t="s">
        <v>65</v>
      </c>
      <c r="M406" s="41">
        <v>25995</v>
      </c>
      <c r="N406" s="41" t="s">
        <v>1226</v>
      </c>
      <c r="O406" s="41" t="s">
        <v>319</v>
      </c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1"/>
      <c r="AC406" s="41"/>
      <c r="AD406" s="41"/>
      <c r="AE406" s="41"/>
      <c r="AF406" s="41"/>
      <c r="AG406" s="42"/>
      <c r="AH406" s="41"/>
      <c r="AI406" s="41"/>
      <c r="AJ406" s="41"/>
      <c r="AK406" s="41"/>
      <c r="AL406" s="41"/>
      <c r="AM406" s="41"/>
      <c r="AN406" s="41"/>
      <c r="AO406" s="41"/>
      <c r="AP406" s="41"/>
      <c r="AQ406" s="41"/>
      <c r="AR406" s="41"/>
      <c r="AS406" s="41"/>
      <c r="AT406" s="41"/>
      <c r="AU406" s="41"/>
      <c r="AV406" s="41"/>
      <c r="AW406" s="41"/>
      <c r="AX406" s="41"/>
      <c r="AY406" s="41"/>
      <c r="AZ406" s="41"/>
      <c r="BA406" s="41"/>
      <c r="BB406" s="41"/>
      <c r="BC406" s="41"/>
      <c r="BD406" s="42"/>
      <c r="BE406" s="41"/>
      <c r="BF406" s="41"/>
      <c r="BG406" s="41"/>
      <c r="BH406" s="42"/>
      <c r="BI406" s="41"/>
      <c r="BJ406" s="41"/>
    </row>
    <row r="407" spans="1:62" s="38" customFormat="1" x14ac:dyDescent="0.25">
      <c r="A407" s="41"/>
      <c r="B407" s="41" t="s">
        <v>1227</v>
      </c>
      <c r="C407" s="41" t="s">
        <v>1228</v>
      </c>
      <c r="D407" s="41"/>
      <c r="E407" s="41" t="s">
        <v>17</v>
      </c>
      <c r="F407" s="41">
        <v>2025</v>
      </c>
      <c r="G407" s="41" t="s">
        <v>1346</v>
      </c>
      <c r="H407" s="41"/>
      <c r="I407" s="43"/>
      <c r="J407" s="41"/>
      <c r="K407" s="41"/>
      <c r="L407" s="41" t="s">
        <v>77</v>
      </c>
      <c r="M407" s="41">
        <v>100972</v>
      </c>
      <c r="N407" s="41" t="s">
        <v>1229</v>
      </c>
      <c r="O407" s="41" t="s">
        <v>386</v>
      </c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1"/>
      <c r="AC407" s="41"/>
      <c r="AD407" s="41"/>
      <c r="AE407" s="41"/>
      <c r="AF407" s="41"/>
      <c r="AG407" s="42"/>
      <c r="AH407" s="41"/>
      <c r="AI407" s="41"/>
      <c r="AJ407" s="41"/>
      <c r="AK407" s="41"/>
      <c r="AL407" s="41"/>
      <c r="AM407" s="41"/>
      <c r="AN407" s="41"/>
      <c r="AO407" s="41"/>
      <c r="AP407" s="41"/>
      <c r="AQ407" s="41"/>
      <c r="AR407" s="41"/>
      <c r="AS407" s="41"/>
      <c r="AT407" s="41"/>
      <c r="AU407" s="41"/>
      <c r="AV407" s="41"/>
      <c r="AW407" s="41"/>
      <c r="AX407" s="41"/>
      <c r="AY407" s="41"/>
      <c r="AZ407" s="41"/>
      <c r="BA407" s="41"/>
      <c r="BB407" s="41"/>
      <c r="BC407" s="41"/>
      <c r="BD407" s="42"/>
      <c r="BE407" s="41"/>
      <c r="BF407" s="41"/>
      <c r="BG407" s="41"/>
      <c r="BH407" s="42"/>
      <c r="BI407" s="41"/>
      <c r="BJ407" s="41"/>
    </row>
    <row r="408" spans="1:62" s="38" customFormat="1" x14ac:dyDescent="0.25">
      <c r="A408" s="41"/>
      <c r="B408" s="41" t="s">
        <v>1230</v>
      </c>
      <c r="C408" s="41" t="s">
        <v>1231</v>
      </c>
      <c r="D408" s="41"/>
      <c r="E408" s="41" t="s">
        <v>17</v>
      </c>
      <c r="F408" s="41">
        <v>2025</v>
      </c>
      <c r="G408" s="41" t="s">
        <v>1346</v>
      </c>
      <c r="H408" s="41"/>
      <c r="I408" s="43"/>
      <c r="J408" s="41"/>
      <c r="K408" s="41"/>
      <c r="L408" s="41" t="s">
        <v>984</v>
      </c>
      <c r="M408" s="41">
        <v>50127</v>
      </c>
      <c r="N408" s="41" t="s">
        <v>1232</v>
      </c>
      <c r="O408" s="41" t="s">
        <v>111</v>
      </c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1"/>
      <c r="AC408" s="41"/>
      <c r="AD408" s="41"/>
      <c r="AE408" s="41"/>
      <c r="AF408" s="41"/>
      <c r="AG408" s="42"/>
      <c r="AH408" s="41"/>
      <c r="AI408" s="41"/>
      <c r="AJ408" s="41"/>
      <c r="AK408" s="41"/>
      <c r="AL408" s="41"/>
      <c r="AM408" s="41"/>
      <c r="AN408" s="41"/>
      <c r="AO408" s="41"/>
      <c r="AP408" s="41"/>
      <c r="AQ408" s="41"/>
      <c r="AR408" s="41"/>
      <c r="AS408" s="41"/>
      <c r="AT408" s="41"/>
      <c r="AU408" s="41"/>
      <c r="AV408" s="41"/>
      <c r="AW408" s="41"/>
      <c r="AX408" s="41"/>
      <c r="AY408" s="41"/>
      <c r="AZ408" s="41"/>
      <c r="BA408" s="41"/>
      <c r="BB408" s="41"/>
      <c r="BC408" s="41"/>
      <c r="BD408" s="42"/>
      <c r="BE408" s="41"/>
      <c r="BF408" s="41"/>
      <c r="BG408" s="41"/>
      <c r="BH408" s="42"/>
      <c r="BI408" s="41"/>
      <c r="BJ408" s="41"/>
    </row>
    <row r="409" spans="1:62" s="38" customFormat="1" x14ac:dyDescent="0.25">
      <c r="A409" s="41"/>
      <c r="B409" s="41" t="s">
        <v>1233</v>
      </c>
      <c r="C409" s="41" t="s">
        <v>1234</v>
      </c>
      <c r="D409" s="41"/>
      <c r="E409" s="41" t="s">
        <v>17</v>
      </c>
      <c r="F409" s="41">
        <v>2025</v>
      </c>
      <c r="G409" s="41" t="s">
        <v>1346</v>
      </c>
      <c r="H409" s="41"/>
      <c r="I409" s="43"/>
      <c r="J409" s="41"/>
      <c r="K409" s="41"/>
      <c r="L409" s="41" t="s">
        <v>299</v>
      </c>
      <c r="M409" s="41">
        <v>50977</v>
      </c>
      <c r="N409" s="41" t="s">
        <v>1235</v>
      </c>
      <c r="O409" s="41" t="s">
        <v>235</v>
      </c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  <c r="AB409" s="41"/>
      <c r="AC409" s="41"/>
      <c r="AD409" s="41"/>
      <c r="AE409" s="41"/>
      <c r="AF409" s="41"/>
      <c r="AG409" s="42"/>
      <c r="AH409" s="41"/>
      <c r="AI409" s="41"/>
      <c r="AJ409" s="41"/>
      <c r="AK409" s="41"/>
      <c r="AL409" s="41"/>
      <c r="AM409" s="41"/>
      <c r="AN409" s="41"/>
      <c r="AO409" s="41"/>
      <c r="AP409" s="41"/>
      <c r="AQ409" s="41"/>
      <c r="AR409" s="41"/>
      <c r="AS409" s="41"/>
      <c r="AT409" s="41"/>
      <c r="AU409" s="41"/>
      <c r="AV409" s="41"/>
      <c r="AW409" s="41"/>
      <c r="AX409" s="41"/>
      <c r="AY409" s="41"/>
      <c r="AZ409" s="41"/>
      <c r="BA409" s="41"/>
      <c r="BB409" s="41"/>
      <c r="BC409" s="41"/>
      <c r="BD409" s="42"/>
      <c r="BE409" s="41"/>
      <c r="BF409" s="41"/>
      <c r="BG409" s="41"/>
      <c r="BH409" s="42"/>
      <c r="BI409" s="41"/>
      <c r="BJ409" s="41"/>
    </row>
    <row r="410" spans="1:62" s="38" customFormat="1" x14ac:dyDescent="0.25">
      <c r="A410" s="41"/>
      <c r="B410" s="41" t="s">
        <v>90</v>
      </c>
      <c r="C410" s="41" t="s">
        <v>1236</v>
      </c>
      <c r="D410" s="41"/>
      <c r="E410" s="41" t="s">
        <v>17</v>
      </c>
      <c r="F410" s="41">
        <v>2025</v>
      </c>
      <c r="G410" s="41" t="s">
        <v>1346</v>
      </c>
      <c r="H410" s="41"/>
      <c r="I410" s="43"/>
      <c r="J410" s="41"/>
      <c r="K410" s="41"/>
      <c r="L410" s="41" t="s">
        <v>1237</v>
      </c>
      <c r="M410" s="41">
        <v>50917</v>
      </c>
      <c r="N410" s="41" t="s">
        <v>1238</v>
      </c>
      <c r="O410" s="41" t="s">
        <v>67</v>
      </c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1"/>
      <c r="AC410" s="41"/>
      <c r="AD410" s="41"/>
      <c r="AE410" s="41"/>
      <c r="AF410" s="41"/>
      <c r="AG410" s="42"/>
      <c r="AH410" s="41"/>
      <c r="AI410" s="41"/>
      <c r="AJ410" s="41"/>
      <c r="AK410" s="41"/>
      <c r="AL410" s="41"/>
      <c r="AM410" s="41"/>
      <c r="AN410" s="41"/>
      <c r="AO410" s="41"/>
      <c r="AP410" s="41"/>
      <c r="AQ410" s="41"/>
      <c r="AR410" s="41"/>
      <c r="AS410" s="41"/>
      <c r="AT410" s="41"/>
      <c r="AU410" s="41"/>
      <c r="AV410" s="41"/>
      <c r="AW410" s="41"/>
      <c r="AX410" s="41"/>
      <c r="AY410" s="41"/>
      <c r="AZ410" s="41"/>
      <c r="BA410" s="41"/>
      <c r="BB410" s="41"/>
      <c r="BC410" s="41"/>
      <c r="BD410" s="42"/>
      <c r="BE410" s="41"/>
      <c r="BF410" s="41"/>
      <c r="BG410" s="41"/>
      <c r="BH410" s="42"/>
      <c r="BI410" s="41"/>
      <c r="BJ410" s="41"/>
    </row>
    <row r="411" spans="1:62" s="38" customFormat="1" x14ac:dyDescent="0.25">
      <c r="A411" s="41"/>
      <c r="B411" s="41" t="s">
        <v>1239</v>
      </c>
      <c r="C411" s="41" t="s">
        <v>1240</v>
      </c>
      <c r="D411" s="41"/>
      <c r="E411" s="41" t="s">
        <v>17</v>
      </c>
      <c r="F411" s="41">
        <v>2025</v>
      </c>
      <c r="G411" s="41" t="s">
        <v>1346</v>
      </c>
      <c r="H411" s="41"/>
      <c r="I411" s="43"/>
      <c r="J411" s="41"/>
      <c r="K411" s="41"/>
      <c r="L411" s="41" t="s">
        <v>77</v>
      </c>
      <c r="M411" s="41">
        <v>100917</v>
      </c>
      <c r="N411" s="41" t="s">
        <v>1241</v>
      </c>
      <c r="O411" s="41" t="s">
        <v>258</v>
      </c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  <c r="AC411" s="41"/>
      <c r="AD411" s="41"/>
      <c r="AE411" s="41"/>
      <c r="AF411" s="41"/>
      <c r="AG411" s="42"/>
      <c r="AH411" s="41"/>
      <c r="AI411" s="41"/>
      <c r="AJ411" s="41"/>
      <c r="AK411" s="41"/>
      <c r="AL411" s="41"/>
      <c r="AM411" s="41"/>
      <c r="AN411" s="41"/>
      <c r="AO411" s="41"/>
      <c r="AP411" s="41"/>
      <c r="AQ411" s="41"/>
      <c r="AR411" s="41"/>
      <c r="AS411" s="41"/>
      <c r="AT411" s="41"/>
      <c r="AU411" s="41"/>
      <c r="AV411" s="41"/>
      <c r="AW411" s="41"/>
      <c r="AX411" s="41"/>
      <c r="AY411" s="41"/>
      <c r="AZ411" s="41"/>
      <c r="BA411" s="41"/>
      <c r="BB411" s="41"/>
      <c r="BC411" s="41"/>
      <c r="BD411" s="42"/>
      <c r="BE411" s="41"/>
      <c r="BF411" s="41"/>
      <c r="BG411" s="41"/>
      <c r="BH411" s="42"/>
      <c r="BI411" s="41"/>
      <c r="BJ411" s="41"/>
    </row>
    <row r="412" spans="1:62" s="38" customFormat="1" x14ac:dyDescent="0.25">
      <c r="A412" s="41"/>
      <c r="B412" s="41" t="s">
        <v>1242</v>
      </c>
      <c r="C412" s="41" t="s">
        <v>1243</v>
      </c>
      <c r="D412" s="41"/>
      <c r="E412" s="41" t="s">
        <v>17</v>
      </c>
      <c r="F412" s="41">
        <v>2025</v>
      </c>
      <c r="G412" s="41" t="s">
        <v>1346</v>
      </c>
      <c r="H412" s="41"/>
      <c r="I412" s="43"/>
      <c r="J412" s="41"/>
      <c r="K412" s="41"/>
      <c r="L412" s="41" t="s">
        <v>65</v>
      </c>
      <c r="M412" s="41">
        <v>10948</v>
      </c>
      <c r="N412" s="41" t="s">
        <v>1244</v>
      </c>
      <c r="O412" s="41" t="s">
        <v>379</v>
      </c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  <c r="AC412" s="41"/>
      <c r="AD412" s="41"/>
      <c r="AE412" s="41"/>
      <c r="AF412" s="41"/>
      <c r="AG412" s="42"/>
      <c r="AH412" s="41"/>
      <c r="AI412" s="41"/>
      <c r="AJ412" s="41"/>
      <c r="AK412" s="41"/>
      <c r="AL412" s="41"/>
      <c r="AM412" s="41"/>
      <c r="AN412" s="41"/>
      <c r="AO412" s="41"/>
      <c r="AP412" s="41"/>
      <c r="AQ412" s="41"/>
      <c r="AR412" s="41"/>
      <c r="AS412" s="41"/>
      <c r="AT412" s="41"/>
      <c r="AU412" s="41"/>
      <c r="AV412" s="41"/>
      <c r="AW412" s="41"/>
      <c r="AX412" s="41"/>
      <c r="AY412" s="41"/>
      <c r="AZ412" s="41"/>
      <c r="BA412" s="41"/>
      <c r="BB412" s="41"/>
      <c r="BC412" s="41"/>
      <c r="BD412" s="42"/>
      <c r="BE412" s="41"/>
      <c r="BF412" s="41"/>
      <c r="BG412" s="41"/>
      <c r="BH412" s="42"/>
      <c r="BI412" s="41"/>
      <c r="BJ412" s="41"/>
    </row>
    <row r="413" spans="1:62" s="38" customFormat="1" x14ac:dyDescent="0.25">
      <c r="A413" s="41"/>
      <c r="B413" s="41" t="s">
        <v>1245</v>
      </c>
      <c r="C413" s="41" t="s">
        <v>1246</v>
      </c>
      <c r="D413" s="41"/>
      <c r="E413" s="41" t="s">
        <v>17</v>
      </c>
      <c r="F413" s="41">
        <v>2025</v>
      </c>
      <c r="G413" s="41" t="s">
        <v>1346</v>
      </c>
      <c r="H413" s="41"/>
      <c r="I413" s="43"/>
      <c r="J413" s="41"/>
      <c r="K413" s="41"/>
      <c r="L413" s="41" t="s">
        <v>73</v>
      </c>
      <c r="M413" s="41">
        <v>100942</v>
      </c>
      <c r="N413" s="41" t="s">
        <v>1247</v>
      </c>
      <c r="O413" s="41" t="s">
        <v>111</v>
      </c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1"/>
      <c r="AC413" s="41"/>
      <c r="AD413" s="41"/>
      <c r="AE413" s="41"/>
      <c r="AF413" s="41"/>
      <c r="AG413" s="42"/>
      <c r="AH413" s="41"/>
      <c r="AI413" s="41"/>
      <c r="AJ413" s="41"/>
      <c r="AK413" s="41"/>
      <c r="AL413" s="41"/>
      <c r="AM413" s="41"/>
      <c r="AN413" s="41"/>
      <c r="AO413" s="41"/>
      <c r="AP413" s="41"/>
      <c r="AQ413" s="41"/>
      <c r="AR413" s="41"/>
      <c r="AS413" s="41"/>
      <c r="AT413" s="41"/>
      <c r="AU413" s="41"/>
      <c r="AV413" s="41"/>
      <c r="AW413" s="41"/>
      <c r="AX413" s="41"/>
      <c r="AY413" s="41"/>
      <c r="AZ413" s="41"/>
      <c r="BA413" s="41"/>
      <c r="BB413" s="41"/>
      <c r="BC413" s="41"/>
      <c r="BD413" s="42"/>
      <c r="BE413" s="41"/>
      <c r="BF413" s="41"/>
      <c r="BG413" s="41"/>
      <c r="BH413" s="42"/>
      <c r="BI413" s="41"/>
      <c r="BJ413" s="41"/>
    </row>
    <row r="414" spans="1:62" s="38" customFormat="1" x14ac:dyDescent="0.25">
      <c r="A414" s="41"/>
      <c r="B414" s="41" t="s">
        <v>1248</v>
      </c>
      <c r="C414" s="41" t="s">
        <v>1249</v>
      </c>
      <c r="D414" s="41"/>
      <c r="E414" s="41" t="s">
        <v>17</v>
      </c>
      <c r="F414" s="41">
        <v>2025</v>
      </c>
      <c r="G414" s="41" t="s">
        <v>1346</v>
      </c>
      <c r="H414" s="41"/>
      <c r="I414" s="43"/>
      <c r="J414" s="41"/>
      <c r="K414" s="41"/>
      <c r="L414" s="41" t="s">
        <v>73</v>
      </c>
      <c r="M414" s="41">
        <v>100922</v>
      </c>
      <c r="N414" s="41" t="s">
        <v>1250</v>
      </c>
      <c r="O414" s="41" t="s">
        <v>111</v>
      </c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1"/>
      <c r="AC414" s="41"/>
      <c r="AD414" s="41"/>
      <c r="AE414" s="41"/>
      <c r="AF414" s="41"/>
      <c r="AG414" s="42"/>
      <c r="AH414" s="41"/>
      <c r="AI414" s="41"/>
      <c r="AJ414" s="41"/>
      <c r="AK414" s="41"/>
      <c r="AL414" s="41"/>
      <c r="AM414" s="41"/>
      <c r="AN414" s="41"/>
      <c r="AO414" s="41"/>
      <c r="AP414" s="41"/>
      <c r="AQ414" s="41"/>
      <c r="AR414" s="41"/>
      <c r="AS414" s="41"/>
      <c r="AT414" s="41"/>
      <c r="AU414" s="41"/>
      <c r="AV414" s="41"/>
      <c r="AW414" s="41"/>
      <c r="AX414" s="41"/>
      <c r="AY414" s="41"/>
      <c r="AZ414" s="41"/>
      <c r="BA414" s="41"/>
      <c r="BB414" s="41"/>
      <c r="BC414" s="41"/>
      <c r="BD414" s="42"/>
      <c r="BE414" s="41"/>
      <c r="BF414" s="41"/>
      <c r="BG414" s="41"/>
      <c r="BH414" s="42"/>
      <c r="BI414" s="41"/>
      <c r="BJ414" s="41"/>
    </row>
    <row r="415" spans="1:62" s="38" customFormat="1" x14ac:dyDescent="0.25">
      <c r="A415" s="41"/>
      <c r="B415" s="41" t="s">
        <v>90</v>
      </c>
      <c r="C415" s="41" t="s">
        <v>1251</v>
      </c>
      <c r="D415" s="41"/>
      <c r="E415" s="41" t="s">
        <v>17</v>
      </c>
      <c r="F415" s="41">
        <v>2025</v>
      </c>
      <c r="G415" s="41" t="s">
        <v>1346</v>
      </c>
      <c r="H415" s="41"/>
      <c r="I415" s="43"/>
      <c r="J415" s="41"/>
      <c r="K415" s="41"/>
      <c r="L415" s="41" t="s">
        <v>77</v>
      </c>
      <c r="M415" s="41">
        <v>100963</v>
      </c>
      <c r="N415" s="41" t="s">
        <v>1252</v>
      </c>
      <c r="O415" s="41" t="s">
        <v>266</v>
      </c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  <c r="AB415" s="41"/>
      <c r="AC415" s="41"/>
      <c r="AD415" s="41"/>
      <c r="AE415" s="41"/>
      <c r="AF415" s="41"/>
      <c r="AG415" s="42"/>
      <c r="AH415" s="41"/>
      <c r="AI415" s="41"/>
      <c r="AJ415" s="41"/>
      <c r="AK415" s="41"/>
      <c r="AL415" s="41"/>
      <c r="AM415" s="41"/>
      <c r="AN415" s="41"/>
      <c r="AO415" s="41"/>
      <c r="AP415" s="41"/>
      <c r="AQ415" s="41"/>
      <c r="AR415" s="41"/>
      <c r="AS415" s="41"/>
      <c r="AT415" s="41"/>
      <c r="AU415" s="41"/>
      <c r="AV415" s="41"/>
      <c r="AW415" s="41"/>
      <c r="AX415" s="41"/>
      <c r="AY415" s="41"/>
      <c r="AZ415" s="41"/>
      <c r="BA415" s="41"/>
      <c r="BB415" s="41"/>
      <c r="BC415" s="41"/>
      <c r="BD415" s="42"/>
      <c r="BE415" s="41"/>
      <c r="BF415" s="41"/>
      <c r="BG415" s="41"/>
      <c r="BH415" s="42"/>
      <c r="BI415" s="41"/>
      <c r="BJ415" s="41"/>
    </row>
    <row r="416" spans="1:62" s="38" customFormat="1" x14ac:dyDescent="0.25">
      <c r="A416" s="41"/>
      <c r="B416" s="41" t="s">
        <v>1253</v>
      </c>
      <c r="C416" s="41" t="s">
        <v>1254</v>
      </c>
      <c r="D416" s="41"/>
      <c r="E416" s="41" t="s">
        <v>17</v>
      </c>
      <c r="F416" s="41">
        <v>2025</v>
      </c>
      <c r="G416" s="41" t="s">
        <v>1346</v>
      </c>
      <c r="H416" s="41"/>
      <c r="I416" s="43"/>
      <c r="J416" s="41"/>
      <c r="K416" s="41"/>
      <c r="L416" s="41" t="s">
        <v>1237</v>
      </c>
      <c r="M416" s="41">
        <v>50919</v>
      </c>
      <c r="N416" s="41" t="s">
        <v>1255</v>
      </c>
      <c r="O416" s="41" t="s">
        <v>235</v>
      </c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1"/>
      <c r="AC416" s="41"/>
      <c r="AD416" s="41"/>
      <c r="AE416" s="41"/>
      <c r="AF416" s="41"/>
      <c r="AG416" s="42"/>
      <c r="AH416" s="41"/>
      <c r="AI416" s="41"/>
      <c r="AJ416" s="41"/>
      <c r="AK416" s="41"/>
      <c r="AL416" s="41"/>
      <c r="AM416" s="41"/>
      <c r="AN416" s="41"/>
      <c r="AO416" s="41"/>
      <c r="AP416" s="41"/>
      <c r="AQ416" s="41"/>
      <c r="AR416" s="41"/>
      <c r="AS416" s="41"/>
      <c r="AT416" s="41"/>
      <c r="AU416" s="41"/>
      <c r="AV416" s="41"/>
      <c r="AW416" s="41"/>
      <c r="AX416" s="41"/>
      <c r="AY416" s="41"/>
      <c r="AZ416" s="41"/>
      <c r="BA416" s="41"/>
      <c r="BB416" s="41"/>
      <c r="BC416" s="41"/>
      <c r="BD416" s="42"/>
      <c r="BE416" s="41"/>
      <c r="BF416" s="41"/>
      <c r="BG416" s="41"/>
      <c r="BH416" s="42"/>
      <c r="BI416" s="41"/>
      <c r="BJ416" s="41"/>
    </row>
    <row r="417" spans="1:62" s="38" customFormat="1" x14ac:dyDescent="0.25">
      <c r="A417" s="41"/>
      <c r="B417" s="41" t="s">
        <v>1256</v>
      </c>
      <c r="C417" s="41" t="s">
        <v>1257</v>
      </c>
      <c r="D417" s="41"/>
      <c r="E417" s="41" t="s">
        <v>17</v>
      </c>
      <c r="F417" s="41">
        <v>2025</v>
      </c>
      <c r="G417" s="41" t="s">
        <v>1346</v>
      </c>
      <c r="H417" s="41"/>
      <c r="I417" s="43"/>
      <c r="J417" s="41"/>
      <c r="K417" s="41"/>
      <c r="L417" s="41" t="s">
        <v>73</v>
      </c>
      <c r="M417" s="41">
        <v>100952</v>
      </c>
      <c r="N417" s="41" t="s">
        <v>1258</v>
      </c>
      <c r="O417" s="41" t="s">
        <v>106</v>
      </c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1"/>
      <c r="AC417" s="41"/>
      <c r="AD417" s="41"/>
      <c r="AE417" s="41"/>
      <c r="AF417" s="41"/>
      <c r="AG417" s="42"/>
      <c r="AH417" s="41"/>
      <c r="AI417" s="41"/>
      <c r="AJ417" s="41"/>
      <c r="AK417" s="41"/>
      <c r="AL417" s="41"/>
      <c r="AM417" s="41"/>
      <c r="AN417" s="41"/>
      <c r="AO417" s="41"/>
      <c r="AP417" s="41"/>
      <c r="AQ417" s="41"/>
      <c r="AR417" s="41"/>
      <c r="AS417" s="41"/>
      <c r="AT417" s="41"/>
      <c r="AU417" s="41"/>
      <c r="AV417" s="41"/>
      <c r="AW417" s="41"/>
      <c r="AX417" s="41"/>
      <c r="AY417" s="41"/>
      <c r="AZ417" s="41"/>
      <c r="BA417" s="41"/>
      <c r="BB417" s="41"/>
      <c r="BC417" s="41"/>
      <c r="BD417" s="42"/>
      <c r="BE417" s="41"/>
      <c r="BF417" s="41"/>
      <c r="BG417" s="41"/>
      <c r="BH417" s="42"/>
      <c r="BI417" s="41"/>
      <c r="BJ417" s="41"/>
    </row>
    <row r="418" spans="1:62" s="38" customFormat="1" x14ac:dyDescent="0.25">
      <c r="A418" s="41"/>
      <c r="B418" s="41" t="s">
        <v>1259</v>
      </c>
      <c r="C418" s="41" t="s">
        <v>1260</v>
      </c>
      <c r="D418" s="41"/>
      <c r="E418" s="41" t="s">
        <v>17</v>
      </c>
      <c r="F418" s="41">
        <v>2025</v>
      </c>
      <c r="G418" s="41" t="s">
        <v>1346</v>
      </c>
      <c r="H418" s="41"/>
      <c r="I418" s="43"/>
      <c r="J418" s="41"/>
      <c r="K418" s="41"/>
      <c r="L418" s="41" t="s">
        <v>268</v>
      </c>
      <c r="M418" s="41">
        <v>50918</v>
      </c>
      <c r="N418" s="41" t="s">
        <v>1261</v>
      </c>
      <c r="O418" s="41" t="s">
        <v>272</v>
      </c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1"/>
      <c r="AC418" s="41"/>
      <c r="AD418" s="41"/>
      <c r="AE418" s="41"/>
      <c r="AF418" s="41"/>
      <c r="AG418" s="42"/>
      <c r="AH418" s="41"/>
      <c r="AI418" s="41"/>
      <c r="AJ418" s="41"/>
      <c r="AK418" s="41"/>
      <c r="AL418" s="41"/>
      <c r="AM418" s="41"/>
      <c r="AN418" s="41"/>
      <c r="AO418" s="41"/>
      <c r="AP418" s="41"/>
      <c r="AQ418" s="41"/>
      <c r="AR418" s="41"/>
      <c r="AS418" s="41"/>
      <c r="AT418" s="41"/>
      <c r="AU418" s="41"/>
      <c r="AV418" s="41"/>
      <c r="AW418" s="41"/>
      <c r="AX418" s="41"/>
      <c r="AY418" s="41"/>
      <c r="AZ418" s="41"/>
      <c r="BA418" s="41"/>
      <c r="BB418" s="41"/>
      <c r="BC418" s="41"/>
      <c r="BD418" s="42"/>
      <c r="BE418" s="41"/>
      <c r="BF418" s="41"/>
      <c r="BG418" s="41"/>
      <c r="BH418" s="42"/>
      <c r="BI418" s="41"/>
      <c r="BJ418" s="41"/>
    </row>
    <row r="419" spans="1:62" s="38" customFormat="1" x14ac:dyDescent="0.25">
      <c r="A419" s="41"/>
      <c r="B419" s="41" t="s">
        <v>1262</v>
      </c>
      <c r="C419" s="41" t="s">
        <v>1263</v>
      </c>
      <c r="D419" s="41"/>
      <c r="E419" s="41" t="s">
        <v>17</v>
      </c>
      <c r="F419" s="41">
        <v>2025</v>
      </c>
      <c r="G419" s="41" t="s">
        <v>1346</v>
      </c>
      <c r="H419" s="41"/>
      <c r="I419" s="43"/>
      <c r="J419" s="41"/>
      <c r="K419" s="41"/>
      <c r="L419" s="41" t="s">
        <v>73</v>
      </c>
      <c r="M419" s="41">
        <v>100981</v>
      </c>
      <c r="N419" s="41" t="s">
        <v>1264</v>
      </c>
      <c r="O419" s="41" t="s">
        <v>106</v>
      </c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  <c r="AC419" s="41"/>
      <c r="AD419" s="41"/>
      <c r="AE419" s="41"/>
      <c r="AF419" s="41"/>
      <c r="AG419" s="42"/>
      <c r="AH419" s="41"/>
      <c r="AI419" s="41"/>
      <c r="AJ419" s="41"/>
      <c r="AK419" s="41"/>
      <c r="AL419" s="41"/>
      <c r="AM419" s="41"/>
      <c r="AN419" s="41"/>
      <c r="AO419" s="41"/>
      <c r="AP419" s="41"/>
      <c r="AQ419" s="41"/>
      <c r="AR419" s="41"/>
      <c r="AS419" s="41"/>
      <c r="AT419" s="41"/>
      <c r="AU419" s="41"/>
      <c r="AV419" s="41"/>
      <c r="AW419" s="41"/>
      <c r="AX419" s="41"/>
      <c r="AY419" s="41"/>
      <c r="AZ419" s="41"/>
      <c r="BA419" s="41"/>
      <c r="BB419" s="41"/>
      <c r="BC419" s="41"/>
      <c r="BD419" s="42"/>
      <c r="BE419" s="41"/>
      <c r="BF419" s="41"/>
      <c r="BG419" s="41"/>
      <c r="BH419" s="42"/>
      <c r="BI419" s="41"/>
      <c r="BJ419" s="41"/>
    </row>
    <row r="420" spans="1:62" s="38" customFormat="1" x14ac:dyDescent="0.25">
      <c r="A420" s="41"/>
      <c r="B420" s="41" t="s">
        <v>1265</v>
      </c>
      <c r="C420" s="41" t="s">
        <v>1266</v>
      </c>
      <c r="D420" s="41"/>
      <c r="E420" s="41" t="s">
        <v>17</v>
      </c>
      <c r="F420" s="41">
        <v>2025</v>
      </c>
      <c r="G420" s="41" t="s">
        <v>1346</v>
      </c>
      <c r="H420" s="41"/>
      <c r="I420" s="43"/>
      <c r="J420" s="41"/>
      <c r="K420" s="41"/>
      <c r="L420" s="41" t="s">
        <v>73</v>
      </c>
      <c r="M420" s="41">
        <v>50996</v>
      </c>
      <c r="N420" s="41" t="s">
        <v>1267</v>
      </c>
      <c r="O420" s="41" t="s">
        <v>379</v>
      </c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  <c r="AC420" s="41"/>
      <c r="AD420" s="41"/>
      <c r="AE420" s="41"/>
      <c r="AF420" s="41"/>
      <c r="AG420" s="42"/>
      <c r="AH420" s="41"/>
      <c r="AI420" s="41"/>
      <c r="AJ420" s="41"/>
      <c r="AK420" s="41"/>
      <c r="AL420" s="41"/>
      <c r="AM420" s="41"/>
      <c r="AN420" s="41"/>
      <c r="AO420" s="41"/>
      <c r="AP420" s="41"/>
      <c r="AQ420" s="41"/>
      <c r="AR420" s="41"/>
      <c r="AS420" s="41"/>
      <c r="AT420" s="41"/>
      <c r="AU420" s="41"/>
      <c r="AV420" s="41"/>
      <c r="AW420" s="41"/>
      <c r="AX420" s="41"/>
      <c r="AY420" s="41"/>
      <c r="AZ420" s="41"/>
      <c r="BA420" s="41"/>
      <c r="BB420" s="41"/>
      <c r="BC420" s="41"/>
      <c r="BD420" s="42"/>
      <c r="BE420" s="41"/>
      <c r="BF420" s="41"/>
      <c r="BG420" s="41"/>
      <c r="BH420" s="42"/>
      <c r="BI420" s="41"/>
      <c r="BJ420" s="41"/>
    </row>
    <row r="421" spans="1:62" s="38" customFormat="1" x14ac:dyDescent="0.25">
      <c r="A421" s="41"/>
      <c r="B421" s="41" t="s">
        <v>1268</v>
      </c>
      <c r="C421" s="41" t="s">
        <v>1269</v>
      </c>
      <c r="D421" s="41"/>
      <c r="E421" s="41" t="s">
        <v>17</v>
      </c>
      <c r="F421" s="41">
        <v>2025</v>
      </c>
      <c r="G421" s="41" t="s">
        <v>1346</v>
      </c>
      <c r="H421" s="41"/>
      <c r="I421" s="43"/>
      <c r="J421" s="41"/>
      <c r="K421" s="41"/>
      <c r="L421" s="41" t="s">
        <v>77</v>
      </c>
      <c r="M421" s="41">
        <v>100969</v>
      </c>
      <c r="N421" s="41" t="s">
        <v>1270</v>
      </c>
      <c r="O421" s="41" t="s">
        <v>235</v>
      </c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1"/>
      <c r="AC421" s="41"/>
      <c r="AD421" s="41"/>
      <c r="AE421" s="41"/>
      <c r="AF421" s="41"/>
      <c r="AG421" s="42"/>
      <c r="AH421" s="41"/>
      <c r="AI421" s="41"/>
      <c r="AJ421" s="41"/>
      <c r="AK421" s="41"/>
      <c r="AL421" s="41"/>
      <c r="AM421" s="41"/>
      <c r="AN421" s="41"/>
      <c r="AO421" s="41"/>
      <c r="AP421" s="41"/>
      <c r="AQ421" s="41"/>
      <c r="AR421" s="41"/>
      <c r="AS421" s="41"/>
      <c r="AT421" s="41"/>
      <c r="AU421" s="41"/>
      <c r="AV421" s="41"/>
      <c r="AW421" s="41"/>
      <c r="AX421" s="41"/>
      <c r="AY421" s="41"/>
      <c r="AZ421" s="41"/>
      <c r="BA421" s="41"/>
      <c r="BB421" s="41"/>
      <c r="BC421" s="41"/>
      <c r="BD421" s="42"/>
      <c r="BE421" s="41"/>
      <c r="BF421" s="41"/>
      <c r="BG421" s="41"/>
      <c r="BH421" s="42"/>
      <c r="BI421" s="41"/>
      <c r="BJ421" s="41"/>
    </row>
    <row r="422" spans="1:62" s="38" customFormat="1" x14ac:dyDescent="0.25">
      <c r="A422" s="41"/>
      <c r="B422" s="41" t="s">
        <v>1271</v>
      </c>
      <c r="C422" s="41" t="s">
        <v>1272</v>
      </c>
      <c r="D422" s="41"/>
      <c r="E422" s="41" t="s">
        <v>17</v>
      </c>
      <c r="F422" s="41">
        <v>2025</v>
      </c>
      <c r="G422" s="41" t="s">
        <v>1346</v>
      </c>
      <c r="H422" s="41"/>
      <c r="I422" s="43"/>
      <c r="J422" s="41"/>
      <c r="K422" s="41"/>
      <c r="L422" s="41" t="s">
        <v>77</v>
      </c>
      <c r="M422" s="41">
        <v>50927</v>
      </c>
      <c r="N422" s="41" t="s">
        <v>1273</v>
      </c>
      <c r="O422" s="41" t="s">
        <v>106</v>
      </c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1"/>
      <c r="AC422" s="41"/>
      <c r="AD422" s="41"/>
      <c r="AE422" s="41"/>
      <c r="AF422" s="41"/>
      <c r="AG422" s="42"/>
      <c r="AH422" s="41"/>
      <c r="AI422" s="41"/>
      <c r="AJ422" s="41"/>
      <c r="AK422" s="41"/>
      <c r="AL422" s="41"/>
      <c r="AM422" s="41"/>
      <c r="AN422" s="41"/>
      <c r="AO422" s="41"/>
      <c r="AP422" s="41"/>
      <c r="AQ422" s="41"/>
      <c r="AR422" s="41"/>
      <c r="AS422" s="41"/>
      <c r="AT422" s="41"/>
      <c r="AU422" s="41"/>
      <c r="AV422" s="41"/>
      <c r="AW422" s="41"/>
      <c r="AX422" s="41"/>
      <c r="AY422" s="41"/>
      <c r="AZ422" s="41"/>
      <c r="BA422" s="41"/>
      <c r="BB422" s="41"/>
      <c r="BC422" s="41"/>
      <c r="BD422" s="42"/>
      <c r="BE422" s="41"/>
      <c r="BF422" s="41"/>
      <c r="BG422" s="41"/>
      <c r="BH422" s="42"/>
      <c r="BI422" s="41"/>
      <c r="BJ422" s="41"/>
    </row>
    <row r="423" spans="1:62" s="38" customFormat="1" x14ac:dyDescent="0.25">
      <c r="A423" s="41"/>
      <c r="B423" s="41" t="s">
        <v>90</v>
      </c>
      <c r="C423" s="41" t="s">
        <v>1274</v>
      </c>
      <c r="D423" s="41"/>
      <c r="E423" s="41" t="s">
        <v>17</v>
      </c>
      <c r="F423" s="41">
        <v>2025</v>
      </c>
      <c r="G423" s="41" t="s">
        <v>1346</v>
      </c>
      <c r="H423" s="41"/>
      <c r="I423" s="43"/>
      <c r="J423" s="41"/>
      <c r="K423" s="41"/>
      <c r="L423" s="41" t="s">
        <v>268</v>
      </c>
      <c r="M423" s="41">
        <v>100994</v>
      </c>
      <c r="N423" s="41" t="s">
        <v>1275</v>
      </c>
      <c r="O423" s="41" t="s">
        <v>266</v>
      </c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1"/>
      <c r="AC423" s="41"/>
      <c r="AD423" s="41"/>
      <c r="AE423" s="41"/>
      <c r="AF423" s="41"/>
      <c r="AG423" s="42"/>
      <c r="AH423" s="41"/>
      <c r="AI423" s="41"/>
      <c r="AJ423" s="41"/>
      <c r="AK423" s="41"/>
      <c r="AL423" s="41"/>
      <c r="AM423" s="41"/>
      <c r="AN423" s="41"/>
      <c r="AO423" s="41"/>
      <c r="AP423" s="41"/>
      <c r="AQ423" s="41"/>
      <c r="AR423" s="41"/>
      <c r="AS423" s="41"/>
      <c r="AT423" s="41"/>
      <c r="AU423" s="41"/>
      <c r="AV423" s="41"/>
      <c r="AW423" s="41"/>
      <c r="AX423" s="41"/>
      <c r="AY423" s="41"/>
      <c r="AZ423" s="41"/>
      <c r="BA423" s="41"/>
      <c r="BB423" s="41"/>
      <c r="BC423" s="41"/>
      <c r="BD423" s="42"/>
      <c r="BE423" s="41"/>
      <c r="BF423" s="41"/>
      <c r="BG423" s="41"/>
      <c r="BH423" s="42"/>
      <c r="BI423" s="41"/>
      <c r="BJ423" s="41"/>
    </row>
    <row r="424" spans="1:62" s="38" customFormat="1" x14ac:dyDescent="0.25">
      <c r="A424" s="41"/>
      <c r="B424" s="41" t="s">
        <v>1276</v>
      </c>
      <c r="C424" s="41" t="s">
        <v>1277</v>
      </c>
      <c r="D424" s="41"/>
      <c r="E424" s="41" t="s">
        <v>17</v>
      </c>
      <c r="F424" s="41">
        <v>2025</v>
      </c>
      <c r="G424" s="41" t="s">
        <v>1346</v>
      </c>
      <c r="H424" s="41"/>
      <c r="I424" s="43"/>
      <c r="J424" s="41"/>
      <c r="K424" s="41"/>
      <c r="L424" s="41" t="s">
        <v>77</v>
      </c>
      <c r="M424" s="41">
        <v>250000</v>
      </c>
      <c r="N424" s="41" t="s">
        <v>1278</v>
      </c>
      <c r="O424" s="41" t="s">
        <v>67</v>
      </c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  <c r="AC424" s="41"/>
      <c r="AD424" s="41"/>
      <c r="AE424" s="41"/>
      <c r="AF424" s="41"/>
      <c r="AG424" s="42"/>
      <c r="AH424" s="41"/>
      <c r="AI424" s="41"/>
      <c r="AJ424" s="41"/>
      <c r="AK424" s="41"/>
      <c r="AL424" s="41"/>
      <c r="AM424" s="41"/>
      <c r="AN424" s="41"/>
      <c r="AO424" s="41"/>
      <c r="AP424" s="41"/>
      <c r="AQ424" s="41"/>
      <c r="AR424" s="41"/>
      <c r="AS424" s="41"/>
      <c r="AT424" s="41"/>
      <c r="AU424" s="41"/>
      <c r="AV424" s="41"/>
      <c r="AW424" s="41"/>
      <c r="AX424" s="41"/>
      <c r="AY424" s="41"/>
      <c r="AZ424" s="41"/>
      <c r="BA424" s="41"/>
      <c r="BB424" s="41"/>
      <c r="BC424" s="41"/>
      <c r="BD424" s="42"/>
      <c r="BE424" s="41"/>
      <c r="BF424" s="41"/>
      <c r="BG424" s="41"/>
      <c r="BH424" s="42"/>
      <c r="BI424" s="41"/>
      <c r="BJ424" s="41"/>
    </row>
    <row r="425" spans="1:62" s="38" customFormat="1" x14ac:dyDescent="0.25">
      <c r="A425" s="41"/>
      <c r="B425" s="41" t="s">
        <v>1280</v>
      </c>
      <c r="C425" s="41" t="s">
        <v>1281</v>
      </c>
      <c r="D425" s="41"/>
      <c r="E425" s="41" t="s">
        <v>17</v>
      </c>
      <c r="F425" s="41">
        <v>2025</v>
      </c>
      <c r="G425" s="41" t="s">
        <v>1346</v>
      </c>
      <c r="H425" s="41"/>
      <c r="I425" s="43"/>
      <c r="J425" s="41"/>
      <c r="K425" s="41"/>
      <c r="L425" s="41" t="s">
        <v>77</v>
      </c>
      <c r="M425" s="41">
        <v>200991</v>
      </c>
      <c r="N425" s="41" t="s">
        <v>1282</v>
      </c>
      <c r="O425" s="41" t="s">
        <v>106</v>
      </c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  <c r="AC425" s="41"/>
      <c r="AD425" s="41"/>
      <c r="AE425" s="41"/>
      <c r="AF425" s="41"/>
      <c r="AG425" s="42"/>
      <c r="AH425" s="41"/>
      <c r="AI425" s="41"/>
      <c r="AJ425" s="41"/>
      <c r="AK425" s="41"/>
      <c r="AL425" s="41"/>
      <c r="AM425" s="41"/>
      <c r="AN425" s="41"/>
      <c r="AO425" s="41"/>
      <c r="AP425" s="41"/>
      <c r="AQ425" s="41"/>
      <c r="AR425" s="41"/>
      <c r="AS425" s="41"/>
      <c r="AT425" s="41"/>
      <c r="AU425" s="41"/>
      <c r="AV425" s="41"/>
      <c r="AW425" s="41"/>
      <c r="AX425" s="41"/>
      <c r="AY425" s="41"/>
      <c r="AZ425" s="41"/>
      <c r="BA425" s="41"/>
      <c r="BB425" s="41"/>
      <c r="BC425" s="41"/>
      <c r="BD425" s="42"/>
      <c r="BE425" s="41"/>
      <c r="BF425" s="41"/>
      <c r="BG425" s="41"/>
      <c r="BH425" s="42"/>
      <c r="BI425" s="41"/>
      <c r="BJ425" s="41"/>
    </row>
    <row r="426" spans="1:62" s="38" customFormat="1" x14ac:dyDescent="0.25">
      <c r="A426" s="41"/>
      <c r="B426" s="41" t="s">
        <v>90</v>
      </c>
      <c r="C426" s="41" t="s">
        <v>1283</v>
      </c>
      <c r="D426" s="41"/>
      <c r="E426" s="41" t="s">
        <v>17</v>
      </c>
      <c r="F426" s="41">
        <v>2025</v>
      </c>
      <c r="G426" s="41" t="s">
        <v>1346</v>
      </c>
      <c r="H426" s="41"/>
      <c r="I426" s="43"/>
      <c r="J426" s="41"/>
      <c r="K426" s="41"/>
      <c r="L426" s="41" t="s">
        <v>77</v>
      </c>
      <c r="M426" s="41">
        <v>50981</v>
      </c>
      <c r="N426" s="41" t="s">
        <v>1284</v>
      </c>
      <c r="O426" s="41" t="s">
        <v>235</v>
      </c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  <c r="AC426" s="41"/>
      <c r="AD426" s="41"/>
      <c r="AE426" s="41"/>
      <c r="AF426" s="41"/>
      <c r="AG426" s="42"/>
      <c r="AH426" s="41"/>
      <c r="AI426" s="41"/>
      <c r="AJ426" s="41"/>
      <c r="AK426" s="41"/>
      <c r="AL426" s="41"/>
      <c r="AM426" s="41"/>
      <c r="AN426" s="41"/>
      <c r="AO426" s="41"/>
      <c r="AP426" s="41"/>
      <c r="AQ426" s="41"/>
      <c r="AR426" s="41"/>
      <c r="AS426" s="41"/>
      <c r="AT426" s="41"/>
      <c r="AU426" s="41"/>
      <c r="AV426" s="41"/>
      <c r="AW426" s="41"/>
      <c r="AX426" s="41"/>
      <c r="AY426" s="41"/>
      <c r="AZ426" s="41"/>
      <c r="BA426" s="41"/>
      <c r="BB426" s="41"/>
      <c r="BC426" s="41"/>
      <c r="BD426" s="42"/>
      <c r="BE426" s="41"/>
      <c r="BF426" s="41"/>
      <c r="BG426" s="41"/>
      <c r="BH426" s="42"/>
      <c r="BI426" s="41"/>
      <c r="BJ426" s="41"/>
    </row>
    <row r="427" spans="1:62" s="38" customFormat="1" x14ac:dyDescent="0.25">
      <c r="A427" s="41"/>
      <c r="B427" s="41" t="s">
        <v>1285</v>
      </c>
      <c r="C427" s="41" t="s">
        <v>1286</v>
      </c>
      <c r="D427" s="41"/>
      <c r="E427" s="41" t="s">
        <v>17</v>
      </c>
      <c r="F427" s="41">
        <v>2025</v>
      </c>
      <c r="G427" s="41" t="s">
        <v>1346</v>
      </c>
      <c r="H427" s="41"/>
      <c r="I427" s="43"/>
      <c r="J427" s="41"/>
      <c r="K427" s="41"/>
      <c r="L427" s="41" t="s">
        <v>73</v>
      </c>
      <c r="M427" s="41">
        <v>250963</v>
      </c>
      <c r="N427" s="41" t="s">
        <v>566</v>
      </c>
      <c r="O427" s="41" t="s">
        <v>79</v>
      </c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  <c r="AC427" s="41"/>
      <c r="AD427" s="41"/>
      <c r="AE427" s="41"/>
      <c r="AF427" s="41"/>
      <c r="AG427" s="42"/>
      <c r="AH427" s="41"/>
      <c r="AI427" s="41"/>
      <c r="AJ427" s="41"/>
      <c r="AK427" s="41"/>
      <c r="AL427" s="41"/>
      <c r="AM427" s="41"/>
      <c r="AN427" s="41"/>
      <c r="AO427" s="41"/>
      <c r="AP427" s="41"/>
      <c r="AQ427" s="41"/>
      <c r="AR427" s="41"/>
      <c r="AS427" s="41"/>
      <c r="AT427" s="41"/>
      <c r="AU427" s="41"/>
      <c r="AV427" s="41"/>
      <c r="AW427" s="41"/>
      <c r="AX427" s="41"/>
      <c r="AY427" s="41"/>
      <c r="AZ427" s="41"/>
      <c r="BA427" s="41"/>
      <c r="BB427" s="41"/>
      <c r="BC427" s="41"/>
      <c r="BD427" s="42"/>
      <c r="BE427" s="41"/>
      <c r="BF427" s="41"/>
      <c r="BG427" s="41"/>
      <c r="BH427" s="42"/>
      <c r="BI427" s="41"/>
      <c r="BJ427" s="41"/>
    </row>
    <row r="428" spans="1:62" s="38" customFormat="1" x14ac:dyDescent="0.25">
      <c r="A428" s="41"/>
      <c r="B428" s="41" t="s">
        <v>222</v>
      </c>
      <c r="C428" s="41" t="s">
        <v>1287</v>
      </c>
      <c r="D428" s="41"/>
      <c r="E428" s="41" t="s">
        <v>17</v>
      </c>
      <c r="F428" s="41">
        <v>2025</v>
      </c>
      <c r="G428" s="41" t="s">
        <v>1346</v>
      </c>
      <c r="H428" s="41"/>
      <c r="I428" s="43"/>
      <c r="J428" s="41"/>
      <c r="K428" s="41"/>
      <c r="L428" s="41" t="s">
        <v>77</v>
      </c>
      <c r="M428" s="41">
        <v>100901</v>
      </c>
      <c r="N428" s="41" t="s">
        <v>1288</v>
      </c>
      <c r="O428" s="41" t="s">
        <v>67</v>
      </c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  <c r="AC428" s="41"/>
      <c r="AD428" s="41"/>
      <c r="AE428" s="41"/>
      <c r="AF428" s="41"/>
      <c r="AG428" s="42"/>
      <c r="AH428" s="41"/>
      <c r="AI428" s="41"/>
      <c r="AJ428" s="41"/>
      <c r="AK428" s="41"/>
      <c r="AL428" s="41"/>
      <c r="AM428" s="41"/>
      <c r="AN428" s="41"/>
      <c r="AO428" s="41"/>
      <c r="AP428" s="41"/>
      <c r="AQ428" s="41"/>
      <c r="AR428" s="41"/>
      <c r="AS428" s="41"/>
      <c r="AT428" s="41"/>
      <c r="AU428" s="41"/>
      <c r="AV428" s="41"/>
      <c r="AW428" s="41"/>
      <c r="AX428" s="41"/>
      <c r="AY428" s="41"/>
      <c r="AZ428" s="41"/>
      <c r="BA428" s="41"/>
      <c r="BB428" s="41"/>
      <c r="BC428" s="41"/>
      <c r="BD428" s="42"/>
      <c r="BE428" s="41"/>
      <c r="BF428" s="41"/>
      <c r="BG428" s="41"/>
      <c r="BH428" s="42"/>
      <c r="BI428" s="41"/>
      <c r="BJ428" s="41"/>
    </row>
    <row r="429" spans="1:62" s="38" customFormat="1" x14ac:dyDescent="0.25">
      <c r="A429" s="41"/>
      <c r="B429" s="41" t="s">
        <v>1289</v>
      </c>
      <c r="C429" s="41" t="s">
        <v>1290</v>
      </c>
      <c r="D429" s="41"/>
      <c r="E429" s="41" t="s">
        <v>17</v>
      </c>
      <c r="F429" s="41">
        <v>2025</v>
      </c>
      <c r="G429" s="41" t="s">
        <v>1346</v>
      </c>
      <c r="H429" s="41"/>
      <c r="I429" s="43"/>
      <c r="J429" s="41"/>
      <c r="K429" s="41"/>
      <c r="L429" s="41" t="s">
        <v>77</v>
      </c>
      <c r="M429" s="41">
        <v>50968</v>
      </c>
      <c r="N429" s="41" t="s">
        <v>1291</v>
      </c>
      <c r="O429" s="41" t="s">
        <v>266</v>
      </c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  <c r="AC429" s="41"/>
      <c r="AD429" s="41"/>
      <c r="AE429" s="41"/>
      <c r="AF429" s="41"/>
      <c r="AG429" s="42"/>
      <c r="AH429" s="41"/>
      <c r="AI429" s="41"/>
      <c r="AJ429" s="41"/>
      <c r="AK429" s="41"/>
      <c r="AL429" s="41"/>
      <c r="AM429" s="41"/>
      <c r="AN429" s="41"/>
      <c r="AO429" s="41"/>
      <c r="AP429" s="41"/>
      <c r="AQ429" s="41"/>
      <c r="AR429" s="41"/>
      <c r="AS429" s="41"/>
      <c r="AT429" s="41"/>
      <c r="AU429" s="41"/>
      <c r="AV429" s="41"/>
      <c r="AW429" s="41"/>
      <c r="AX429" s="41"/>
      <c r="AY429" s="41"/>
      <c r="AZ429" s="41"/>
      <c r="BA429" s="41"/>
      <c r="BB429" s="41"/>
      <c r="BC429" s="41"/>
      <c r="BD429" s="42"/>
      <c r="BE429" s="41"/>
      <c r="BF429" s="41"/>
      <c r="BG429" s="41"/>
      <c r="BH429" s="42"/>
      <c r="BI429" s="41"/>
      <c r="BJ429" s="41"/>
    </row>
    <row r="430" spans="1:62" s="38" customFormat="1" x14ac:dyDescent="0.25">
      <c r="A430" s="41"/>
      <c r="B430" s="41" t="s">
        <v>1292</v>
      </c>
      <c r="C430" s="41" t="s">
        <v>1293</v>
      </c>
      <c r="D430" s="41"/>
      <c r="E430" s="41" t="s">
        <v>17</v>
      </c>
      <c r="F430" s="41">
        <v>2025</v>
      </c>
      <c r="G430" s="41" t="s">
        <v>1346</v>
      </c>
      <c r="H430" s="41"/>
      <c r="I430" s="43"/>
      <c r="J430" s="41"/>
      <c r="K430" s="41"/>
      <c r="L430" s="41" t="s">
        <v>77</v>
      </c>
      <c r="M430" s="41">
        <v>100921</v>
      </c>
      <c r="N430" s="41" t="s">
        <v>1294</v>
      </c>
      <c r="O430" s="41" t="s">
        <v>235</v>
      </c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  <c r="AC430" s="41"/>
      <c r="AD430" s="41"/>
      <c r="AE430" s="41"/>
      <c r="AF430" s="41"/>
      <c r="AG430" s="42"/>
      <c r="AH430" s="41"/>
      <c r="AI430" s="41"/>
      <c r="AJ430" s="41"/>
      <c r="AK430" s="41"/>
      <c r="AL430" s="41"/>
      <c r="AM430" s="41"/>
      <c r="AN430" s="41"/>
      <c r="AO430" s="41"/>
      <c r="AP430" s="41"/>
      <c r="AQ430" s="41"/>
      <c r="AR430" s="41"/>
      <c r="AS430" s="41"/>
      <c r="AT430" s="41"/>
      <c r="AU430" s="41"/>
      <c r="AV430" s="41"/>
      <c r="AW430" s="41"/>
      <c r="AX430" s="41"/>
      <c r="AY430" s="41"/>
      <c r="AZ430" s="41"/>
      <c r="BA430" s="41"/>
      <c r="BB430" s="41"/>
      <c r="BC430" s="41"/>
      <c r="BD430" s="42"/>
      <c r="BE430" s="41"/>
      <c r="BF430" s="41"/>
      <c r="BG430" s="41"/>
      <c r="BH430" s="42"/>
      <c r="BI430" s="41"/>
      <c r="BJ430" s="41"/>
    </row>
    <row r="431" spans="1:62" s="38" customFormat="1" x14ac:dyDescent="0.25">
      <c r="A431" s="41"/>
      <c r="B431" s="41" t="s">
        <v>1295</v>
      </c>
      <c r="C431" s="41" t="s">
        <v>1296</v>
      </c>
      <c r="D431" s="41"/>
      <c r="E431" s="41" t="s">
        <v>17</v>
      </c>
      <c r="F431" s="41">
        <v>2025</v>
      </c>
      <c r="G431" s="41" t="s">
        <v>1346</v>
      </c>
      <c r="H431" s="41"/>
      <c r="I431" s="43"/>
      <c r="J431" s="41"/>
      <c r="K431" s="41"/>
      <c r="L431" s="41" t="s">
        <v>73</v>
      </c>
      <c r="M431" s="41">
        <v>100965</v>
      </c>
      <c r="N431" s="41" t="s">
        <v>1297</v>
      </c>
      <c r="O431" s="41" t="s">
        <v>146</v>
      </c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  <c r="AC431" s="41"/>
      <c r="AD431" s="41"/>
      <c r="AE431" s="41"/>
      <c r="AF431" s="41"/>
      <c r="AG431" s="42"/>
      <c r="AH431" s="41"/>
      <c r="AI431" s="41"/>
      <c r="AJ431" s="41"/>
      <c r="AK431" s="41"/>
      <c r="AL431" s="41"/>
      <c r="AM431" s="41"/>
      <c r="AN431" s="41"/>
      <c r="AO431" s="41"/>
      <c r="AP431" s="41"/>
      <c r="AQ431" s="41"/>
      <c r="AR431" s="41"/>
      <c r="AS431" s="41"/>
      <c r="AT431" s="41"/>
      <c r="AU431" s="41"/>
      <c r="AV431" s="41"/>
      <c r="AW431" s="41"/>
      <c r="AX431" s="41"/>
      <c r="AY431" s="41"/>
      <c r="AZ431" s="41"/>
      <c r="BA431" s="41"/>
      <c r="BB431" s="41"/>
      <c r="BC431" s="41"/>
      <c r="BD431" s="42"/>
      <c r="BE431" s="41"/>
      <c r="BF431" s="41"/>
      <c r="BG431" s="41"/>
      <c r="BH431" s="42"/>
      <c r="BI431" s="41"/>
      <c r="BJ431" s="41"/>
    </row>
    <row r="432" spans="1:62" s="38" customFormat="1" x14ac:dyDescent="0.25">
      <c r="A432" s="41"/>
      <c r="B432" s="41" t="s">
        <v>1298</v>
      </c>
      <c r="C432" s="41" t="s">
        <v>1299</v>
      </c>
      <c r="D432" s="41"/>
      <c r="E432" s="41" t="s">
        <v>17</v>
      </c>
      <c r="F432" s="41">
        <v>2025</v>
      </c>
      <c r="G432" s="41" t="s">
        <v>1346</v>
      </c>
      <c r="H432" s="41"/>
      <c r="I432" s="43"/>
      <c r="J432" s="41"/>
      <c r="K432" s="41"/>
      <c r="L432" s="41" t="s">
        <v>77</v>
      </c>
      <c r="M432" s="41">
        <v>100991</v>
      </c>
      <c r="N432" s="41" t="s">
        <v>1300</v>
      </c>
      <c r="O432" s="41" t="s">
        <v>146</v>
      </c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  <c r="AC432" s="41"/>
      <c r="AD432" s="41"/>
      <c r="AE432" s="41"/>
      <c r="AF432" s="41"/>
      <c r="AG432" s="42"/>
      <c r="AH432" s="41"/>
      <c r="AI432" s="41"/>
      <c r="AJ432" s="41"/>
      <c r="AK432" s="41"/>
      <c r="AL432" s="41"/>
      <c r="AM432" s="41"/>
      <c r="AN432" s="41"/>
      <c r="AO432" s="41"/>
      <c r="AP432" s="41"/>
      <c r="AQ432" s="41"/>
      <c r="AR432" s="41"/>
      <c r="AS432" s="41"/>
      <c r="AT432" s="41"/>
      <c r="AU432" s="41"/>
      <c r="AV432" s="41"/>
      <c r="AW432" s="41"/>
      <c r="AX432" s="41"/>
      <c r="AY432" s="41"/>
      <c r="AZ432" s="41"/>
      <c r="BA432" s="41"/>
      <c r="BB432" s="41"/>
      <c r="BC432" s="41"/>
      <c r="BD432" s="42"/>
      <c r="BE432" s="41"/>
      <c r="BF432" s="41"/>
      <c r="BG432" s="41"/>
      <c r="BH432" s="42"/>
      <c r="BI432" s="41"/>
      <c r="BJ432" s="41"/>
    </row>
    <row r="433" spans="1:62" s="38" customFormat="1" x14ac:dyDescent="0.25">
      <c r="A433" s="41"/>
      <c r="B433" s="41" t="s">
        <v>1301</v>
      </c>
      <c r="C433" s="41" t="s">
        <v>1302</v>
      </c>
      <c r="D433" s="41"/>
      <c r="E433" s="41" t="s">
        <v>17</v>
      </c>
      <c r="F433" s="41">
        <v>2025</v>
      </c>
      <c r="G433" s="41" t="s">
        <v>1346</v>
      </c>
      <c r="H433" s="41"/>
      <c r="I433" s="43"/>
      <c r="J433" s="41"/>
      <c r="K433" s="41"/>
      <c r="L433" s="41" t="s">
        <v>73</v>
      </c>
      <c r="M433" s="41">
        <v>100945</v>
      </c>
      <c r="N433" s="41" t="s">
        <v>1303</v>
      </c>
      <c r="O433" s="41" t="s">
        <v>272</v>
      </c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  <c r="AC433" s="41"/>
      <c r="AD433" s="41"/>
      <c r="AE433" s="41"/>
      <c r="AF433" s="41"/>
      <c r="AG433" s="42"/>
      <c r="AH433" s="41"/>
      <c r="AI433" s="41"/>
      <c r="AJ433" s="41"/>
      <c r="AK433" s="41"/>
      <c r="AL433" s="41"/>
      <c r="AM433" s="41"/>
      <c r="AN433" s="41"/>
      <c r="AO433" s="41"/>
      <c r="AP433" s="41"/>
      <c r="AQ433" s="41"/>
      <c r="AR433" s="41"/>
      <c r="AS433" s="41"/>
      <c r="AT433" s="41"/>
      <c r="AU433" s="41"/>
      <c r="AV433" s="41"/>
      <c r="AW433" s="41"/>
      <c r="AX433" s="41"/>
      <c r="AY433" s="41"/>
      <c r="AZ433" s="41"/>
      <c r="BA433" s="41"/>
      <c r="BB433" s="41"/>
      <c r="BC433" s="41"/>
      <c r="BD433" s="42"/>
      <c r="BE433" s="41"/>
      <c r="BF433" s="41"/>
      <c r="BG433" s="41"/>
      <c r="BH433" s="42"/>
      <c r="BI433" s="41"/>
      <c r="BJ433" s="41"/>
    </row>
    <row r="434" spans="1:62" s="38" customFormat="1" x14ac:dyDescent="0.25">
      <c r="A434" s="41"/>
      <c r="B434" s="41" t="s">
        <v>1304</v>
      </c>
      <c r="C434" s="41" t="s">
        <v>1305</v>
      </c>
      <c r="D434" s="41"/>
      <c r="E434" s="41" t="s">
        <v>17</v>
      </c>
      <c r="F434" s="41">
        <v>2025</v>
      </c>
      <c r="G434" s="41" t="s">
        <v>1346</v>
      </c>
      <c r="H434" s="41"/>
      <c r="I434" s="43"/>
      <c r="J434" s="41"/>
      <c r="K434" s="41"/>
      <c r="L434" s="41" t="s">
        <v>268</v>
      </c>
      <c r="M434" s="41">
        <v>100981</v>
      </c>
      <c r="N434" s="41" t="s">
        <v>1306</v>
      </c>
      <c r="O434" s="41" t="s">
        <v>235</v>
      </c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  <c r="AC434" s="41"/>
      <c r="AD434" s="41"/>
      <c r="AE434" s="41"/>
      <c r="AF434" s="41"/>
      <c r="AG434" s="42"/>
      <c r="AH434" s="41"/>
      <c r="AI434" s="41"/>
      <c r="AJ434" s="41"/>
      <c r="AK434" s="41"/>
      <c r="AL434" s="41"/>
      <c r="AM434" s="41"/>
      <c r="AN434" s="41"/>
      <c r="AO434" s="41"/>
      <c r="AP434" s="41"/>
      <c r="AQ434" s="41"/>
      <c r="AR434" s="41"/>
      <c r="AS434" s="41"/>
      <c r="AT434" s="41"/>
      <c r="AU434" s="41"/>
      <c r="AV434" s="41"/>
      <c r="AW434" s="41"/>
      <c r="AX434" s="41"/>
      <c r="AY434" s="41"/>
      <c r="AZ434" s="41"/>
      <c r="BA434" s="41"/>
      <c r="BB434" s="41"/>
      <c r="BC434" s="41"/>
      <c r="BD434" s="42"/>
      <c r="BE434" s="41"/>
      <c r="BF434" s="41"/>
      <c r="BG434" s="41"/>
      <c r="BH434" s="42"/>
      <c r="BI434" s="41"/>
      <c r="BJ434" s="41"/>
    </row>
    <row r="435" spans="1:62" s="38" customFormat="1" x14ac:dyDescent="0.25">
      <c r="A435" s="41"/>
      <c r="B435" s="41" t="s">
        <v>90</v>
      </c>
      <c r="C435" s="41" t="s">
        <v>1307</v>
      </c>
      <c r="D435" s="41"/>
      <c r="E435" s="41" t="s">
        <v>17</v>
      </c>
      <c r="F435" s="41">
        <v>2025</v>
      </c>
      <c r="G435" s="41" t="s">
        <v>1346</v>
      </c>
      <c r="H435" s="41"/>
      <c r="I435" s="43"/>
      <c r="J435" s="41"/>
      <c r="K435" s="41"/>
      <c r="L435" s="41" t="s">
        <v>77</v>
      </c>
      <c r="M435" s="41">
        <v>50921</v>
      </c>
      <c r="N435" s="41" t="s">
        <v>1308</v>
      </c>
      <c r="O435" s="41" t="s">
        <v>99</v>
      </c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  <c r="AC435" s="41"/>
      <c r="AD435" s="41"/>
      <c r="AE435" s="41"/>
      <c r="AF435" s="41"/>
      <c r="AG435" s="42"/>
      <c r="AH435" s="41"/>
      <c r="AI435" s="41"/>
      <c r="AJ435" s="41"/>
      <c r="AK435" s="41"/>
      <c r="AL435" s="41"/>
      <c r="AM435" s="41"/>
      <c r="AN435" s="41"/>
      <c r="AO435" s="41"/>
      <c r="AP435" s="41"/>
      <c r="AQ435" s="41"/>
      <c r="AR435" s="41"/>
      <c r="AS435" s="41"/>
      <c r="AT435" s="41"/>
      <c r="AU435" s="41"/>
      <c r="AV435" s="41"/>
      <c r="AW435" s="41"/>
      <c r="AX435" s="41"/>
      <c r="AY435" s="41"/>
      <c r="AZ435" s="41"/>
      <c r="BA435" s="41"/>
      <c r="BB435" s="41"/>
      <c r="BC435" s="41"/>
      <c r="BD435" s="42"/>
      <c r="BE435" s="41"/>
      <c r="BF435" s="41"/>
      <c r="BG435" s="41"/>
      <c r="BH435" s="42"/>
      <c r="BI435" s="41"/>
      <c r="BJ435" s="41"/>
    </row>
    <row r="436" spans="1:62" s="38" customFormat="1" x14ac:dyDescent="0.25">
      <c r="A436" s="41"/>
      <c r="B436" s="41" t="s">
        <v>1309</v>
      </c>
      <c r="C436" s="41" t="s">
        <v>1310</v>
      </c>
      <c r="D436" s="41"/>
      <c r="E436" s="41" t="s">
        <v>17</v>
      </c>
      <c r="F436" s="41">
        <v>2025</v>
      </c>
      <c r="G436" s="41" t="s">
        <v>1346</v>
      </c>
      <c r="H436" s="41"/>
      <c r="I436" s="43"/>
      <c r="J436" s="41"/>
      <c r="K436" s="41"/>
      <c r="L436" s="41" t="s">
        <v>77</v>
      </c>
      <c r="M436" s="41">
        <v>50960</v>
      </c>
      <c r="N436" s="41" t="s">
        <v>1311</v>
      </c>
      <c r="O436" s="41" t="s">
        <v>258</v>
      </c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  <c r="AC436" s="41"/>
      <c r="AD436" s="41"/>
      <c r="AE436" s="41"/>
      <c r="AF436" s="41"/>
      <c r="AG436" s="42"/>
      <c r="AH436" s="41"/>
      <c r="AI436" s="41"/>
      <c r="AJ436" s="41"/>
      <c r="AK436" s="41"/>
      <c r="AL436" s="41"/>
      <c r="AM436" s="41"/>
      <c r="AN436" s="41"/>
      <c r="AO436" s="41"/>
      <c r="AP436" s="41"/>
      <c r="AQ436" s="41"/>
      <c r="AR436" s="41"/>
      <c r="AS436" s="41"/>
      <c r="AT436" s="41"/>
      <c r="AU436" s="41"/>
      <c r="AV436" s="41"/>
      <c r="AW436" s="41"/>
      <c r="AX436" s="41"/>
      <c r="AY436" s="41"/>
      <c r="AZ436" s="41"/>
      <c r="BA436" s="41"/>
      <c r="BB436" s="41"/>
      <c r="BC436" s="41"/>
      <c r="BD436" s="42"/>
      <c r="BE436" s="41"/>
      <c r="BF436" s="41"/>
      <c r="BG436" s="41"/>
      <c r="BH436" s="42"/>
      <c r="BI436" s="41"/>
      <c r="BJ436" s="41"/>
    </row>
    <row r="437" spans="1:62" s="38" customFormat="1" x14ac:dyDescent="0.25">
      <c r="A437" s="41"/>
      <c r="B437" s="41" t="s">
        <v>1312</v>
      </c>
      <c r="C437" s="41" t="s">
        <v>1313</v>
      </c>
      <c r="D437" s="41"/>
      <c r="E437" s="41" t="s">
        <v>17</v>
      </c>
      <c r="F437" s="41">
        <v>2025</v>
      </c>
      <c r="G437" s="41" t="s">
        <v>1346</v>
      </c>
      <c r="H437" s="41"/>
      <c r="I437" s="43"/>
      <c r="J437" s="41"/>
      <c r="K437" s="41"/>
      <c r="L437" s="41" t="s">
        <v>65</v>
      </c>
      <c r="M437" s="41">
        <v>50902</v>
      </c>
      <c r="N437" s="41" t="s">
        <v>1314</v>
      </c>
      <c r="O437" s="41" t="s">
        <v>258</v>
      </c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  <c r="AC437" s="41"/>
      <c r="AD437" s="41"/>
      <c r="AE437" s="41"/>
      <c r="AF437" s="41"/>
      <c r="AG437" s="42"/>
      <c r="AH437" s="41"/>
      <c r="AI437" s="41"/>
      <c r="AJ437" s="41"/>
      <c r="AK437" s="41"/>
      <c r="AL437" s="41"/>
      <c r="AM437" s="41"/>
      <c r="AN437" s="41"/>
      <c r="AO437" s="41"/>
      <c r="AP437" s="41"/>
      <c r="AQ437" s="41"/>
      <c r="AR437" s="41"/>
      <c r="AS437" s="41"/>
      <c r="AT437" s="41"/>
      <c r="AU437" s="41"/>
      <c r="AV437" s="41"/>
      <c r="AW437" s="41"/>
      <c r="AX437" s="41"/>
      <c r="AY437" s="41"/>
      <c r="AZ437" s="41"/>
      <c r="BA437" s="41"/>
      <c r="BB437" s="41"/>
      <c r="BC437" s="41"/>
      <c r="BD437" s="42"/>
      <c r="BE437" s="41"/>
      <c r="BF437" s="41"/>
      <c r="BG437" s="41"/>
      <c r="BH437" s="42"/>
      <c r="BI437" s="41"/>
      <c r="BJ437" s="41"/>
    </row>
    <row r="438" spans="1:62" s="38" customFormat="1" x14ac:dyDescent="0.25">
      <c r="A438" s="41"/>
      <c r="B438" s="41" t="s">
        <v>90</v>
      </c>
      <c r="C438" s="41" t="s">
        <v>1315</v>
      </c>
      <c r="D438" s="41"/>
      <c r="E438" s="41" t="s">
        <v>17</v>
      </c>
      <c r="F438" s="41">
        <v>2025</v>
      </c>
      <c r="G438" s="41" t="s">
        <v>1346</v>
      </c>
      <c r="H438" s="41"/>
      <c r="I438" s="43"/>
      <c r="J438" s="41"/>
      <c r="K438" s="41"/>
      <c r="L438" s="41" t="s">
        <v>73</v>
      </c>
      <c r="M438" s="41">
        <v>50971</v>
      </c>
      <c r="N438" s="41" t="s">
        <v>1316</v>
      </c>
      <c r="O438" s="41" t="s">
        <v>272</v>
      </c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  <c r="AC438" s="41"/>
      <c r="AD438" s="41"/>
      <c r="AE438" s="41"/>
      <c r="AF438" s="41"/>
      <c r="AG438" s="42"/>
      <c r="AH438" s="41"/>
      <c r="AI438" s="41"/>
      <c r="AJ438" s="41"/>
      <c r="AK438" s="41"/>
      <c r="AL438" s="41"/>
      <c r="AM438" s="41"/>
      <c r="AN438" s="41"/>
      <c r="AO438" s="41"/>
      <c r="AP438" s="41"/>
      <c r="AQ438" s="41"/>
      <c r="AR438" s="41"/>
      <c r="AS438" s="41"/>
      <c r="AT438" s="41"/>
      <c r="AU438" s="41"/>
      <c r="AV438" s="41"/>
      <c r="AW438" s="41"/>
      <c r="AX438" s="41"/>
      <c r="AY438" s="41"/>
      <c r="AZ438" s="41"/>
      <c r="BA438" s="41"/>
      <c r="BB438" s="41"/>
      <c r="BC438" s="41"/>
      <c r="BD438" s="42"/>
      <c r="BE438" s="41"/>
      <c r="BF438" s="41"/>
      <c r="BG438" s="41"/>
      <c r="BH438" s="42"/>
      <c r="BI438" s="41"/>
      <c r="BJ438" s="41"/>
    </row>
    <row r="439" spans="1:62" s="38" customFormat="1" x14ac:dyDescent="0.25">
      <c r="A439" s="41"/>
      <c r="B439" s="41" t="s">
        <v>1317</v>
      </c>
      <c r="C439" s="41" t="s">
        <v>1318</v>
      </c>
      <c r="D439" s="41"/>
      <c r="E439" s="41" t="s">
        <v>17</v>
      </c>
      <c r="F439" s="41">
        <v>2025</v>
      </c>
      <c r="G439" s="41" t="s">
        <v>1346</v>
      </c>
      <c r="H439" s="41"/>
      <c r="I439" s="43"/>
      <c r="J439" s="41"/>
      <c r="K439" s="41"/>
      <c r="L439" s="41" t="s">
        <v>77</v>
      </c>
      <c r="M439" s="41">
        <v>100960</v>
      </c>
      <c r="N439" s="41" t="s">
        <v>1319</v>
      </c>
      <c r="O439" s="41" t="s">
        <v>235</v>
      </c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  <c r="AC439" s="41"/>
      <c r="AD439" s="41"/>
      <c r="AE439" s="41"/>
      <c r="AF439" s="41"/>
      <c r="AG439" s="42"/>
      <c r="AH439" s="41"/>
      <c r="AI439" s="41"/>
      <c r="AJ439" s="41"/>
      <c r="AK439" s="41"/>
      <c r="AL439" s="41"/>
      <c r="AM439" s="41"/>
      <c r="AN439" s="41"/>
      <c r="AO439" s="41"/>
      <c r="AP439" s="41"/>
      <c r="AQ439" s="41"/>
      <c r="AR439" s="41"/>
      <c r="AS439" s="41"/>
      <c r="AT439" s="41"/>
      <c r="AU439" s="41"/>
      <c r="AV439" s="41"/>
      <c r="AW439" s="41"/>
      <c r="AX439" s="41"/>
      <c r="AY439" s="41"/>
      <c r="AZ439" s="41"/>
      <c r="BA439" s="41"/>
      <c r="BB439" s="41"/>
      <c r="BC439" s="41"/>
      <c r="BD439" s="42"/>
      <c r="BE439" s="41"/>
      <c r="BF439" s="41"/>
      <c r="BG439" s="41"/>
      <c r="BH439" s="42"/>
      <c r="BI439" s="41"/>
      <c r="BJ439" s="41"/>
    </row>
    <row r="440" spans="1:62" s="38" customFormat="1" x14ac:dyDescent="0.25">
      <c r="A440" s="41"/>
      <c r="B440" s="41" t="s">
        <v>1320</v>
      </c>
      <c r="C440" s="41" t="s">
        <v>1321</v>
      </c>
      <c r="D440" s="41"/>
      <c r="E440" s="41" t="s">
        <v>17</v>
      </c>
      <c r="F440" s="41">
        <v>2025</v>
      </c>
      <c r="G440" s="41" t="s">
        <v>1346</v>
      </c>
      <c r="H440" s="41"/>
      <c r="I440" s="43"/>
      <c r="J440" s="41"/>
      <c r="K440" s="41"/>
      <c r="L440" s="41" t="s">
        <v>73</v>
      </c>
      <c r="M440" s="41">
        <v>100951</v>
      </c>
      <c r="N440" s="41" t="s">
        <v>1322</v>
      </c>
      <c r="O440" s="41" t="s">
        <v>258</v>
      </c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  <c r="AC440" s="41"/>
      <c r="AD440" s="41"/>
      <c r="AE440" s="41"/>
      <c r="AF440" s="41"/>
      <c r="AG440" s="42"/>
      <c r="AH440" s="41"/>
      <c r="AI440" s="41"/>
      <c r="AJ440" s="41"/>
      <c r="AK440" s="41"/>
      <c r="AL440" s="41"/>
      <c r="AM440" s="41"/>
      <c r="AN440" s="41"/>
      <c r="AO440" s="41"/>
      <c r="AP440" s="41"/>
      <c r="AQ440" s="41"/>
      <c r="AR440" s="41"/>
      <c r="AS440" s="41"/>
      <c r="AT440" s="41"/>
      <c r="AU440" s="41"/>
      <c r="AV440" s="41"/>
      <c r="AW440" s="41"/>
      <c r="AX440" s="41"/>
      <c r="AY440" s="41"/>
      <c r="AZ440" s="41"/>
      <c r="BA440" s="41"/>
      <c r="BB440" s="41"/>
      <c r="BC440" s="41"/>
      <c r="BD440" s="42"/>
      <c r="BE440" s="41"/>
      <c r="BF440" s="41"/>
      <c r="BG440" s="41"/>
      <c r="BH440" s="42"/>
      <c r="BI440" s="41"/>
      <c r="BJ440" s="41"/>
    </row>
    <row r="441" spans="1:62" s="38" customFormat="1" x14ac:dyDescent="0.25">
      <c r="A441" s="41"/>
      <c r="B441" s="41" t="s">
        <v>1323</v>
      </c>
      <c r="C441" s="41" t="s">
        <v>1324</v>
      </c>
      <c r="D441" s="41"/>
      <c r="E441" s="41" t="s">
        <v>17</v>
      </c>
      <c r="F441" s="41">
        <v>2025</v>
      </c>
      <c r="G441" s="41" t="s">
        <v>1346</v>
      </c>
      <c r="H441" s="41"/>
      <c r="I441" s="43"/>
      <c r="J441" s="41"/>
      <c r="K441" s="41"/>
      <c r="L441" s="41" t="s">
        <v>77</v>
      </c>
      <c r="M441" s="41">
        <v>250940</v>
      </c>
      <c r="N441" s="41" t="s">
        <v>1325</v>
      </c>
      <c r="O441" s="41" t="s">
        <v>99</v>
      </c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  <c r="AC441" s="41"/>
      <c r="AD441" s="41"/>
      <c r="AE441" s="41"/>
      <c r="AF441" s="41"/>
      <c r="AG441" s="42"/>
      <c r="AH441" s="41"/>
      <c r="AI441" s="41"/>
      <c r="AJ441" s="41"/>
      <c r="AK441" s="41"/>
      <c r="AL441" s="41"/>
      <c r="AM441" s="41"/>
      <c r="AN441" s="41"/>
      <c r="AO441" s="41"/>
      <c r="AP441" s="41"/>
      <c r="AQ441" s="41"/>
      <c r="AR441" s="41"/>
      <c r="AS441" s="41"/>
      <c r="AT441" s="41"/>
      <c r="AU441" s="41"/>
      <c r="AV441" s="41"/>
      <c r="AW441" s="41"/>
      <c r="AX441" s="41"/>
      <c r="AY441" s="41"/>
      <c r="AZ441" s="41"/>
      <c r="BA441" s="41"/>
      <c r="BB441" s="41"/>
      <c r="BC441" s="41"/>
      <c r="BD441" s="42"/>
      <c r="BE441" s="41"/>
      <c r="BF441" s="41"/>
      <c r="BG441" s="41"/>
      <c r="BH441" s="42"/>
      <c r="BI441" s="41"/>
      <c r="BJ441" s="41"/>
    </row>
    <row r="442" spans="1:62" s="38" customFormat="1" x14ac:dyDescent="0.25">
      <c r="A442" s="41"/>
      <c r="B442" s="41" t="s">
        <v>1326</v>
      </c>
      <c r="C442" s="41" t="s">
        <v>1327</v>
      </c>
      <c r="D442" s="41"/>
      <c r="E442" s="41" t="s">
        <v>17</v>
      </c>
      <c r="F442" s="41">
        <v>2025</v>
      </c>
      <c r="G442" s="41" t="s">
        <v>1346</v>
      </c>
      <c r="H442" s="41"/>
      <c r="I442" s="43"/>
      <c r="J442" s="41"/>
      <c r="K442" s="41"/>
      <c r="L442" s="41" t="s">
        <v>73</v>
      </c>
      <c r="M442" s="41">
        <v>100986</v>
      </c>
      <c r="N442" s="41" t="s">
        <v>1328</v>
      </c>
      <c r="O442" s="41" t="s">
        <v>258</v>
      </c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  <c r="AC442" s="41"/>
      <c r="AD442" s="41"/>
      <c r="AE442" s="41"/>
      <c r="AF442" s="41"/>
      <c r="AG442" s="42"/>
      <c r="AH442" s="41"/>
      <c r="AI442" s="41"/>
      <c r="AJ442" s="41"/>
      <c r="AK442" s="41"/>
      <c r="AL442" s="41"/>
      <c r="AM442" s="41"/>
      <c r="AN442" s="41"/>
      <c r="AO442" s="41"/>
      <c r="AP442" s="41"/>
      <c r="AQ442" s="41"/>
      <c r="AR442" s="41"/>
      <c r="AS442" s="41"/>
      <c r="AT442" s="41"/>
      <c r="AU442" s="41"/>
      <c r="AV442" s="41"/>
      <c r="AW442" s="41"/>
      <c r="AX442" s="41"/>
      <c r="AY442" s="41"/>
      <c r="AZ442" s="41"/>
      <c r="BA442" s="41"/>
      <c r="BB442" s="41"/>
      <c r="BC442" s="41"/>
      <c r="BD442" s="42"/>
      <c r="BE442" s="41"/>
      <c r="BF442" s="41"/>
      <c r="BG442" s="41"/>
      <c r="BH442" s="42"/>
      <c r="BI442" s="41"/>
      <c r="BJ442" s="41"/>
    </row>
    <row r="443" spans="1:62" s="38" customFormat="1" x14ac:dyDescent="0.25">
      <c r="A443" s="41"/>
      <c r="B443" s="41" t="s">
        <v>1329</v>
      </c>
      <c r="C443" s="41" t="s">
        <v>1330</v>
      </c>
      <c r="D443" s="41"/>
      <c r="E443" s="41" t="s">
        <v>17</v>
      </c>
      <c r="F443" s="41">
        <v>2025</v>
      </c>
      <c r="G443" s="41" t="s">
        <v>1346</v>
      </c>
      <c r="H443" s="41"/>
      <c r="I443" s="43"/>
      <c r="J443" s="41"/>
      <c r="K443" s="41"/>
      <c r="L443" s="41" t="s">
        <v>69</v>
      </c>
      <c r="M443" s="41">
        <v>30093</v>
      </c>
      <c r="N443" s="41" t="s">
        <v>1331</v>
      </c>
      <c r="O443" s="41" t="s">
        <v>106</v>
      </c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  <c r="AC443" s="41"/>
      <c r="AD443" s="41"/>
      <c r="AE443" s="41"/>
      <c r="AF443" s="41"/>
      <c r="AG443" s="42"/>
      <c r="AH443" s="41"/>
      <c r="AI443" s="41"/>
      <c r="AJ443" s="41"/>
      <c r="AK443" s="41"/>
      <c r="AL443" s="41"/>
      <c r="AM443" s="41"/>
      <c r="AN443" s="41"/>
      <c r="AO443" s="41"/>
      <c r="AP443" s="41"/>
      <c r="AQ443" s="41"/>
      <c r="AR443" s="41"/>
      <c r="AS443" s="41"/>
      <c r="AT443" s="41"/>
      <c r="AU443" s="41"/>
      <c r="AV443" s="41"/>
      <c r="AW443" s="41"/>
      <c r="AX443" s="41"/>
      <c r="AY443" s="41"/>
      <c r="AZ443" s="41"/>
      <c r="BA443" s="41"/>
      <c r="BB443" s="41"/>
      <c r="BC443" s="41"/>
      <c r="BD443" s="42"/>
      <c r="BE443" s="41"/>
      <c r="BF443" s="41"/>
      <c r="BG443" s="41"/>
      <c r="BH443" s="42"/>
      <c r="BI443" s="41"/>
      <c r="BJ443" s="41"/>
    </row>
    <row r="444" spans="1:62" s="38" customFormat="1" x14ac:dyDescent="0.25">
      <c r="A444" s="41"/>
      <c r="B444" s="41" t="s">
        <v>1332</v>
      </c>
      <c r="C444" s="41" t="s">
        <v>1333</v>
      </c>
      <c r="D444" s="41"/>
      <c r="E444" s="41" t="s">
        <v>17</v>
      </c>
      <c r="F444" s="41">
        <v>2025</v>
      </c>
      <c r="G444" s="41" t="s">
        <v>1346</v>
      </c>
      <c r="H444" s="41"/>
      <c r="I444" s="43"/>
      <c r="J444" s="41"/>
      <c r="K444" s="41"/>
      <c r="L444" s="41" t="s">
        <v>73</v>
      </c>
      <c r="M444" s="41">
        <v>100942</v>
      </c>
      <c r="N444" s="41" t="s">
        <v>1334</v>
      </c>
      <c r="O444" s="41" t="s">
        <v>111</v>
      </c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  <c r="AC444" s="41"/>
      <c r="AD444" s="41"/>
      <c r="AE444" s="41"/>
      <c r="AF444" s="41"/>
      <c r="AG444" s="42"/>
      <c r="AH444" s="41"/>
      <c r="AI444" s="41"/>
      <c r="AJ444" s="41"/>
      <c r="AK444" s="41"/>
      <c r="AL444" s="41"/>
      <c r="AM444" s="41"/>
      <c r="AN444" s="41"/>
      <c r="AO444" s="41"/>
      <c r="AP444" s="41"/>
      <c r="AQ444" s="41"/>
      <c r="AR444" s="41"/>
      <c r="AS444" s="41"/>
      <c r="AT444" s="41"/>
      <c r="AU444" s="41"/>
      <c r="AV444" s="41"/>
      <c r="AW444" s="41"/>
      <c r="AX444" s="41"/>
      <c r="AY444" s="41"/>
      <c r="AZ444" s="41"/>
      <c r="BA444" s="41"/>
      <c r="BB444" s="41"/>
      <c r="BC444" s="41"/>
      <c r="BD444" s="42"/>
      <c r="BE444" s="41"/>
      <c r="BF444" s="41"/>
      <c r="BG444" s="41"/>
      <c r="BH444" s="42"/>
      <c r="BI444" s="41"/>
      <c r="BJ444" s="41"/>
    </row>
    <row r="445" spans="1:62" s="38" customFormat="1" x14ac:dyDescent="0.25">
      <c r="A445" s="41"/>
      <c r="B445" s="41" t="s">
        <v>1335</v>
      </c>
      <c r="C445" s="41" t="s">
        <v>1336</v>
      </c>
      <c r="D445" s="41"/>
      <c r="E445" s="41" t="s">
        <v>17</v>
      </c>
      <c r="F445" s="41">
        <v>2025</v>
      </c>
      <c r="G445" s="41" t="s">
        <v>1346</v>
      </c>
      <c r="H445" s="41"/>
      <c r="I445" s="43"/>
      <c r="J445" s="41"/>
      <c r="K445" s="41"/>
      <c r="L445" s="41" t="s">
        <v>77</v>
      </c>
      <c r="M445" s="41">
        <v>50907</v>
      </c>
      <c r="N445" s="41" t="s">
        <v>1191</v>
      </c>
      <c r="O445" s="41" t="s">
        <v>146</v>
      </c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  <c r="AC445" s="41"/>
      <c r="AD445" s="41"/>
      <c r="AE445" s="41"/>
      <c r="AF445" s="41"/>
      <c r="AG445" s="42"/>
      <c r="AH445" s="41"/>
      <c r="AI445" s="41"/>
      <c r="AJ445" s="41"/>
      <c r="AK445" s="41"/>
      <c r="AL445" s="41"/>
      <c r="AM445" s="41"/>
      <c r="AN445" s="41"/>
      <c r="AO445" s="41"/>
      <c r="AP445" s="41"/>
      <c r="AQ445" s="41"/>
      <c r="AR445" s="41"/>
      <c r="AS445" s="41"/>
      <c r="AT445" s="41"/>
      <c r="AU445" s="41"/>
      <c r="AV445" s="41"/>
      <c r="AW445" s="41"/>
      <c r="AX445" s="41"/>
      <c r="AY445" s="41"/>
      <c r="AZ445" s="41"/>
      <c r="BA445" s="41"/>
      <c r="BB445" s="41"/>
      <c r="BC445" s="41"/>
      <c r="BD445" s="42"/>
      <c r="BE445" s="41"/>
      <c r="BF445" s="41"/>
      <c r="BG445" s="41"/>
      <c r="BH445" s="42"/>
      <c r="BI445" s="41"/>
      <c r="BJ445" s="41"/>
    </row>
    <row r="446" spans="1:62" s="38" customFormat="1" x14ac:dyDescent="0.25">
      <c r="A446" s="41"/>
      <c r="B446" s="41" t="s">
        <v>1337</v>
      </c>
      <c r="C446" s="41" t="s">
        <v>1338</v>
      </c>
      <c r="D446" s="41"/>
      <c r="E446" s="41" t="s">
        <v>17</v>
      </c>
      <c r="F446" s="41">
        <v>2025</v>
      </c>
      <c r="G446" s="41" t="s">
        <v>1346</v>
      </c>
      <c r="H446" s="41"/>
      <c r="I446" s="43"/>
      <c r="J446" s="41"/>
      <c r="K446" s="41"/>
      <c r="L446" s="41" t="s">
        <v>268</v>
      </c>
      <c r="M446" s="41">
        <v>50909</v>
      </c>
      <c r="N446" s="41" t="s">
        <v>1339</v>
      </c>
      <c r="O446" s="41" t="s">
        <v>99</v>
      </c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  <c r="AC446" s="41"/>
      <c r="AD446" s="41"/>
      <c r="AE446" s="41"/>
      <c r="AF446" s="41"/>
      <c r="AG446" s="42"/>
      <c r="AH446" s="41"/>
      <c r="AI446" s="41"/>
      <c r="AJ446" s="41"/>
      <c r="AK446" s="41"/>
      <c r="AL446" s="41"/>
      <c r="AM446" s="41"/>
      <c r="AN446" s="41"/>
      <c r="AO446" s="41"/>
      <c r="AP446" s="41"/>
      <c r="AQ446" s="41"/>
      <c r="AR446" s="41"/>
      <c r="AS446" s="41"/>
      <c r="AT446" s="41"/>
      <c r="AU446" s="41"/>
      <c r="AV446" s="41"/>
      <c r="AW446" s="41"/>
      <c r="AX446" s="41"/>
      <c r="AY446" s="41"/>
      <c r="AZ446" s="41"/>
      <c r="BA446" s="41"/>
      <c r="BB446" s="41"/>
      <c r="BC446" s="41"/>
      <c r="BD446" s="42"/>
      <c r="BE446" s="41"/>
      <c r="BF446" s="41"/>
      <c r="BG446" s="41"/>
      <c r="BH446" s="42"/>
      <c r="BI446" s="41"/>
      <c r="BJ446" s="41"/>
    </row>
    <row r="447" spans="1:62" s="38" customFormat="1" x14ac:dyDescent="0.25">
      <c r="A447" s="41"/>
      <c r="B447" s="41" t="s">
        <v>1340</v>
      </c>
      <c r="C447" s="41" t="s">
        <v>1341</v>
      </c>
      <c r="D447" s="41"/>
      <c r="E447" s="41" t="s">
        <v>17</v>
      </c>
      <c r="F447" s="41">
        <v>2025</v>
      </c>
      <c r="G447" s="41" t="s">
        <v>1346</v>
      </c>
      <c r="H447" s="41"/>
      <c r="I447" s="43"/>
      <c r="J447" s="41"/>
      <c r="K447" s="41"/>
      <c r="L447" s="41" t="s">
        <v>73</v>
      </c>
      <c r="M447" s="41">
        <v>100943</v>
      </c>
      <c r="N447" s="41" t="s">
        <v>1342</v>
      </c>
      <c r="O447" s="41" t="s">
        <v>111</v>
      </c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  <c r="AC447" s="41"/>
      <c r="AD447" s="41"/>
      <c r="AE447" s="41"/>
      <c r="AF447" s="41"/>
      <c r="AG447" s="42"/>
      <c r="AH447" s="41"/>
      <c r="AI447" s="41"/>
      <c r="AJ447" s="41"/>
      <c r="AK447" s="41"/>
      <c r="AL447" s="41"/>
      <c r="AM447" s="41"/>
      <c r="AN447" s="41"/>
      <c r="AO447" s="41"/>
      <c r="AP447" s="41"/>
      <c r="AQ447" s="41"/>
      <c r="AR447" s="41"/>
      <c r="AS447" s="41"/>
      <c r="AT447" s="41"/>
      <c r="AU447" s="41"/>
      <c r="AV447" s="41"/>
      <c r="AW447" s="41"/>
      <c r="AX447" s="41"/>
      <c r="AY447" s="41"/>
      <c r="AZ447" s="41"/>
      <c r="BA447" s="41"/>
      <c r="BB447" s="41"/>
      <c r="BC447" s="41"/>
      <c r="BD447" s="42"/>
      <c r="BE447" s="41"/>
      <c r="BF447" s="41"/>
      <c r="BG447" s="41"/>
      <c r="BH447" s="42"/>
      <c r="BI447" s="41"/>
      <c r="BJ447" s="41"/>
    </row>
    <row r="448" spans="1:62" s="38" customFormat="1" x14ac:dyDescent="0.25">
      <c r="A448" s="41"/>
      <c r="B448" s="41" t="s">
        <v>1343</v>
      </c>
      <c r="C448" s="41" t="s">
        <v>1344</v>
      </c>
      <c r="D448" s="41"/>
      <c r="E448" s="41" t="s">
        <v>17</v>
      </c>
      <c r="F448" s="41">
        <v>2025</v>
      </c>
      <c r="G448" s="41" t="s">
        <v>1346</v>
      </c>
      <c r="H448" s="41"/>
      <c r="I448" s="43"/>
      <c r="J448" s="41"/>
      <c r="K448" s="41"/>
      <c r="L448" s="41" t="s">
        <v>73</v>
      </c>
      <c r="M448" s="41">
        <v>100963</v>
      </c>
      <c r="N448" s="41" t="s">
        <v>1345</v>
      </c>
      <c r="O448" s="41" t="s">
        <v>235</v>
      </c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  <c r="AC448" s="41"/>
      <c r="AD448" s="41"/>
      <c r="AE448" s="41"/>
      <c r="AF448" s="41"/>
      <c r="AG448" s="42"/>
      <c r="AH448" s="41"/>
      <c r="AI448" s="41"/>
      <c r="AJ448" s="41"/>
      <c r="AK448" s="41"/>
      <c r="AL448" s="41"/>
      <c r="AM448" s="41"/>
      <c r="AN448" s="41"/>
      <c r="AO448" s="41"/>
      <c r="AP448" s="41"/>
      <c r="AQ448" s="41"/>
      <c r="AR448" s="41"/>
      <c r="AS448" s="41"/>
      <c r="AT448" s="41"/>
      <c r="AU448" s="41"/>
      <c r="AV448" s="41"/>
      <c r="AW448" s="41"/>
      <c r="AX448" s="41"/>
      <c r="AY448" s="41"/>
      <c r="AZ448" s="41"/>
      <c r="BA448" s="41"/>
      <c r="BB448" s="41"/>
      <c r="BC448" s="41"/>
      <c r="BD448" s="42"/>
      <c r="BE448" s="41"/>
      <c r="BF448" s="41"/>
      <c r="BG448" s="41"/>
      <c r="BH448" s="42"/>
      <c r="BI448" s="41"/>
      <c r="BJ448" s="41"/>
    </row>
  </sheetData>
  <mergeCells count="26">
    <mergeCell ref="BJ10:BJ11"/>
    <mergeCell ref="AB10:AE10"/>
    <mergeCell ref="AF10:AI10"/>
    <mergeCell ref="AJ10:AM10"/>
    <mergeCell ref="AN10:AQ10"/>
    <mergeCell ref="AR10:AU10"/>
    <mergeCell ref="AV10:AY10"/>
    <mergeCell ref="AZ10:BC10"/>
    <mergeCell ref="BD10:BD11"/>
    <mergeCell ref="BE10:BE11"/>
    <mergeCell ref="BH10:BH11"/>
    <mergeCell ref="BI10:BI11"/>
    <mergeCell ref="BF10:BF11"/>
    <mergeCell ref="BG10:BG11"/>
    <mergeCell ref="X10:AA10"/>
    <mergeCell ref="A10:A11"/>
    <mergeCell ref="B10:B11"/>
    <mergeCell ref="C10:C11"/>
    <mergeCell ref="D10:D11"/>
    <mergeCell ref="E10:E11"/>
    <mergeCell ref="F10:F11"/>
    <mergeCell ref="G10:G11"/>
    <mergeCell ref="H10:K10"/>
    <mergeCell ref="L10:O10"/>
    <mergeCell ref="P10:S10"/>
    <mergeCell ref="T10:W10"/>
  </mergeCells>
  <conditionalFormatting sqref="C1:C1048576">
    <cfRule type="duplicateValues" dxfId="0" priority="1"/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CD8F1-1455-40AF-BCB2-8BA8E177199F}">
  <dimension ref="A1"/>
  <sheetViews>
    <sheetView workbookViewId="0">
      <selection activeCell="E1" sqref="E1"/>
    </sheetView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0:K18"/>
  <sheetViews>
    <sheetView workbookViewId="0">
      <selection activeCell="G20" sqref="G20"/>
    </sheetView>
  </sheetViews>
  <sheetFormatPr defaultRowHeight="15" x14ac:dyDescent="0.25"/>
  <cols>
    <col min="1" max="16384" width="9.140625" style="13"/>
  </cols>
  <sheetData>
    <row r="10" spans="2:11" x14ac:dyDescent="0.25">
      <c r="H10" s="13" t="s">
        <v>0</v>
      </c>
      <c r="I10" s="13" t="s">
        <v>1</v>
      </c>
      <c r="J10" s="13" t="s">
        <v>5</v>
      </c>
      <c r="K10" s="13" t="s">
        <v>4</v>
      </c>
    </row>
    <row r="11" spans="2:11" x14ac:dyDescent="0.25">
      <c r="B11" s="13" t="s">
        <v>56</v>
      </c>
    </row>
    <row r="12" spans="2:11" x14ac:dyDescent="0.25">
      <c r="B12" s="13" t="s">
        <v>57</v>
      </c>
      <c r="H12" s="13">
        <v>1</v>
      </c>
      <c r="I12" s="13" t="s">
        <v>28</v>
      </c>
      <c r="J12" s="13" t="s">
        <v>35</v>
      </c>
    </row>
    <row r="13" spans="2:11" x14ac:dyDescent="0.25">
      <c r="B13" s="13" t="s">
        <v>58</v>
      </c>
      <c r="H13" s="13">
        <v>2</v>
      </c>
      <c r="I13" s="13" t="s">
        <v>29</v>
      </c>
      <c r="J13" s="13" t="s">
        <v>36</v>
      </c>
    </row>
    <row r="14" spans="2:11" x14ac:dyDescent="0.25">
      <c r="B14" s="13" t="s">
        <v>59</v>
      </c>
      <c r="H14" s="13">
        <v>3</v>
      </c>
      <c r="I14" s="13" t="s">
        <v>33</v>
      </c>
      <c r="J14" s="13" t="s">
        <v>37</v>
      </c>
    </row>
    <row r="15" spans="2:11" x14ac:dyDescent="0.25">
      <c r="H15" s="13">
        <v>4</v>
      </c>
      <c r="I15" s="13" t="s">
        <v>39</v>
      </c>
      <c r="J15" s="13" t="s">
        <v>38</v>
      </c>
    </row>
    <row r="16" spans="2:11" x14ac:dyDescent="0.25">
      <c r="H16" s="13">
        <v>5</v>
      </c>
      <c r="I16" s="13" t="s">
        <v>45</v>
      </c>
      <c r="J16" s="13" t="s">
        <v>38</v>
      </c>
    </row>
    <row r="17" spans="8:10" x14ac:dyDescent="0.25">
      <c r="H17" s="13">
        <v>6</v>
      </c>
      <c r="I17" s="13" t="s">
        <v>54</v>
      </c>
      <c r="J17" s="13" t="s">
        <v>38</v>
      </c>
    </row>
    <row r="18" spans="8:10" x14ac:dyDescent="0.25">
      <c r="H18" s="13">
        <v>7</v>
      </c>
      <c r="I18" s="13" t="s">
        <v>55</v>
      </c>
      <c r="J18" s="13" t="s">
        <v>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0"/>
  <sheetViews>
    <sheetView topLeftCell="A25" workbookViewId="0">
      <selection activeCell="J53" sqref="J53"/>
    </sheetView>
  </sheetViews>
  <sheetFormatPr defaultRowHeight="15" x14ac:dyDescent="0.25"/>
  <cols>
    <col min="1" max="1" width="28.140625" bestFit="1" customWidth="1"/>
    <col min="2" max="2" width="9.42578125" customWidth="1"/>
    <col min="3" max="3" width="46.5703125" bestFit="1" customWidth="1"/>
    <col min="4" max="4" width="8" bestFit="1" customWidth="1"/>
    <col min="5" max="5" width="17.7109375" bestFit="1" customWidth="1"/>
    <col min="6" max="6" width="21.5703125" bestFit="1" customWidth="1"/>
  </cols>
  <sheetData>
    <row r="1" spans="1:6" x14ac:dyDescent="0.25">
      <c r="A1" t="s">
        <v>62</v>
      </c>
      <c r="B1" t="s">
        <v>5</v>
      </c>
      <c r="C1" t="s">
        <v>3</v>
      </c>
      <c r="D1" t="s">
        <v>2</v>
      </c>
      <c r="E1" t="s">
        <v>63</v>
      </c>
      <c r="F1" t="s">
        <v>12</v>
      </c>
    </row>
    <row r="2" spans="1:6" x14ac:dyDescent="0.25">
      <c r="A2" t="s">
        <v>64</v>
      </c>
      <c r="B2">
        <v>87738102993</v>
      </c>
      <c r="C2" t="s">
        <v>65</v>
      </c>
      <c r="D2">
        <v>50996</v>
      </c>
      <c r="E2" t="s">
        <v>66</v>
      </c>
      <c r="F2" t="s">
        <v>67</v>
      </c>
    </row>
    <row r="3" spans="1:6" x14ac:dyDescent="0.25">
      <c r="A3" t="s">
        <v>68</v>
      </c>
      <c r="B3">
        <v>884845454548</v>
      </c>
      <c r="C3" t="s">
        <v>69</v>
      </c>
      <c r="D3">
        <v>100015</v>
      </c>
      <c r="E3" t="s">
        <v>70</v>
      </c>
      <c r="F3" t="s">
        <v>67</v>
      </c>
    </row>
    <row r="4" spans="1:6" x14ac:dyDescent="0.25">
      <c r="A4" t="s">
        <v>71</v>
      </c>
      <c r="B4" t="s">
        <v>72</v>
      </c>
      <c r="C4" t="s">
        <v>73</v>
      </c>
      <c r="D4">
        <v>50909</v>
      </c>
      <c r="E4" t="s">
        <v>74</v>
      </c>
      <c r="F4" t="s">
        <v>67</v>
      </c>
    </row>
    <row r="5" spans="1:6" x14ac:dyDescent="0.25">
      <c r="A5" t="s">
        <v>75</v>
      </c>
      <c r="B5" t="s">
        <v>76</v>
      </c>
      <c r="C5" t="s">
        <v>77</v>
      </c>
      <c r="D5">
        <v>100936</v>
      </c>
      <c r="E5" t="s">
        <v>78</v>
      </c>
      <c r="F5" t="s">
        <v>79</v>
      </c>
    </row>
    <row r="6" spans="1:6" x14ac:dyDescent="0.25">
      <c r="A6" t="s">
        <v>80</v>
      </c>
      <c r="B6" t="s">
        <v>81</v>
      </c>
      <c r="C6" t="s">
        <v>65</v>
      </c>
      <c r="D6">
        <v>30949</v>
      </c>
      <c r="E6" t="s">
        <v>82</v>
      </c>
      <c r="F6" t="s">
        <v>67</v>
      </c>
    </row>
    <row r="7" spans="1:6" x14ac:dyDescent="0.25">
      <c r="A7" t="s">
        <v>83</v>
      </c>
      <c r="B7" t="s">
        <v>84</v>
      </c>
      <c r="C7" t="s">
        <v>85</v>
      </c>
      <c r="D7">
        <v>82977</v>
      </c>
      <c r="E7" t="s">
        <v>86</v>
      </c>
      <c r="F7" t="s">
        <v>67</v>
      </c>
    </row>
    <row r="8" spans="1:6" x14ac:dyDescent="0.25">
      <c r="A8" t="s">
        <v>87</v>
      </c>
      <c r="B8" t="s">
        <v>88</v>
      </c>
      <c r="C8" t="s">
        <v>73</v>
      </c>
      <c r="D8">
        <v>50911</v>
      </c>
      <c r="E8" t="s">
        <v>89</v>
      </c>
      <c r="F8" t="s">
        <v>67</v>
      </c>
    </row>
    <row r="9" spans="1:6" x14ac:dyDescent="0.25">
      <c r="A9" t="s">
        <v>90</v>
      </c>
      <c r="B9" t="s">
        <v>91</v>
      </c>
      <c r="C9" t="s">
        <v>73</v>
      </c>
      <c r="D9">
        <v>50000</v>
      </c>
      <c r="E9" t="s">
        <v>92</v>
      </c>
      <c r="F9" t="s">
        <v>67</v>
      </c>
    </row>
    <row r="10" spans="1:6" x14ac:dyDescent="0.25">
      <c r="A10" t="s">
        <v>93</v>
      </c>
      <c r="B10" t="s">
        <v>94</v>
      </c>
      <c r="C10" t="s">
        <v>73</v>
      </c>
      <c r="D10">
        <v>2000923</v>
      </c>
      <c r="E10" t="s">
        <v>95</v>
      </c>
      <c r="F10" t="s">
        <v>67</v>
      </c>
    </row>
    <row r="11" spans="1:6" x14ac:dyDescent="0.25">
      <c r="A11" t="s">
        <v>96</v>
      </c>
      <c r="B11" t="s">
        <v>97</v>
      </c>
      <c r="C11" t="s">
        <v>65</v>
      </c>
      <c r="D11">
        <v>50976</v>
      </c>
      <c r="E11" t="s">
        <v>98</v>
      </c>
      <c r="F11" t="s">
        <v>99</v>
      </c>
    </row>
    <row r="12" spans="1:6" x14ac:dyDescent="0.25">
      <c r="A12" t="s">
        <v>100</v>
      </c>
      <c r="B12" t="s">
        <v>101</v>
      </c>
      <c r="C12" t="s">
        <v>77</v>
      </c>
      <c r="D12">
        <v>100000</v>
      </c>
      <c r="E12" t="s">
        <v>102</v>
      </c>
      <c r="F12" t="s">
        <v>67</v>
      </c>
    </row>
    <row r="13" spans="1:6" x14ac:dyDescent="0.25">
      <c r="A13" t="s">
        <v>103</v>
      </c>
      <c r="B13" t="s">
        <v>104</v>
      </c>
      <c r="C13" t="s">
        <v>77</v>
      </c>
      <c r="D13">
        <v>25926</v>
      </c>
      <c r="E13" t="s">
        <v>105</v>
      </c>
      <c r="F13" t="s">
        <v>106</v>
      </c>
    </row>
    <row r="14" spans="1:6" x14ac:dyDescent="0.25">
      <c r="A14" t="s">
        <v>107</v>
      </c>
      <c r="B14" t="s">
        <v>108</v>
      </c>
      <c r="C14" t="s">
        <v>109</v>
      </c>
      <c r="D14">
        <v>450154</v>
      </c>
      <c r="E14" t="s">
        <v>110</v>
      </c>
      <c r="F14" t="s">
        <v>111</v>
      </c>
    </row>
    <row r="15" spans="1:6" x14ac:dyDescent="0.25">
      <c r="A15" t="s">
        <v>112</v>
      </c>
      <c r="B15" t="s">
        <v>113</v>
      </c>
      <c r="C15" t="s">
        <v>109</v>
      </c>
      <c r="D15">
        <v>275842</v>
      </c>
      <c r="E15" t="s">
        <v>114</v>
      </c>
      <c r="F15" t="s">
        <v>111</v>
      </c>
    </row>
    <row r="16" spans="1:6" x14ac:dyDescent="0.25">
      <c r="A16" t="s">
        <v>115</v>
      </c>
      <c r="B16" t="s">
        <v>116</v>
      </c>
      <c r="C16" t="s">
        <v>77</v>
      </c>
      <c r="D16">
        <v>50916</v>
      </c>
      <c r="E16" t="s">
        <v>117</v>
      </c>
      <c r="F16" t="s">
        <v>111</v>
      </c>
    </row>
    <row r="17" spans="1:6" x14ac:dyDescent="0.25">
      <c r="A17" t="s">
        <v>118</v>
      </c>
      <c r="B17" t="s">
        <v>119</v>
      </c>
      <c r="C17" t="s">
        <v>120</v>
      </c>
      <c r="D17">
        <v>50997</v>
      </c>
      <c r="E17" t="s">
        <v>121</v>
      </c>
      <c r="F17" t="s">
        <v>106</v>
      </c>
    </row>
    <row r="18" spans="1:6" x14ac:dyDescent="0.25">
      <c r="A18" t="s">
        <v>122</v>
      </c>
      <c r="B18" t="s">
        <v>123</v>
      </c>
      <c r="C18" t="s">
        <v>65</v>
      </c>
      <c r="D18">
        <v>30997</v>
      </c>
      <c r="E18" t="s">
        <v>124</v>
      </c>
      <c r="F18" t="s">
        <v>67</v>
      </c>
    </row>
    <row r="19" spans="1:6" x14ac:dyDescent="0.25">
      <c r="A19" t="s">
        <v>125</v>
      </c>
      <c r="B19" t="s">
        <v>126</v>
      </c>
      <c r="C19" t="s">
        <v>73</v>
      </c>
      <c r="D19">
        <v>500000</v>
      </c>
      <c r="E19" t="s">
        <v>127</v>
      </c>
      <c r="F19" t="s">
        <v>67</v>
      </c>
    </row>
    <row r="20" spans="1:6" x14ac:dyDescent="0.25">
      <c r="A20" t="s">
        <v>128</v>
      </c>
      <c r="B20" t="s">
        <v>129</v>
      </c>
      <c r="C20" t="s">
        <v>130</v>
      </c>
      <c r="D20">
        <v>165930</v>
      </c>
      <c r="E20" t="s">
        <v>131</v>
      </c>
      <c r="F20" t="s">
        <v>79</v>
      </c>
    </row>
    <row r="21" spans="1:6" x14ac:dyDescent="0.25">
      <c r="A21" t="s">
        <v>132</v>
      </c>
      <c r="B21" t="s">
        <v>133</v>
      </c>
      <c r="C21" t="s">
        <v>69</v>
      </c>
      <c r="D21">
        <v>30090</v>
      </c>
      <c r="E21" t="s">
        <v>134</v>
      </c>
      <c r="F21" t="s">
        <v>106</v>
      </c>
    </row>
    <row r="22" spans="1:6" x14ac:dyDescent="0.25">
      <c r="A22" t="s">
        <v>135</v>
      </c>
      <c r="B22" t="s">
        <v>136</v>
      </c>
      <c r="C22" t="s">
        <v>77</v>
      </c>
      <c r="D22">
        <v>50924</v>
      </c>
      <c r="E22" t="s">
        <v>137</v>
      </c>
      <c r="F22" t="s">
        <v>106</v>
      </c>
    </row>
    <row r="23" spans="1:6" x14ac:dyDescent="0.25">
      <c r="A23" t="s">
        <v>90</v>
      </c>
      <c r="B23" t="s">
        <v>138</v>
      </c>
      <c r="C23" t="s">
        <v>73</v>
      </c>
      <c r="D23">
        <v>100977</v>
      </c>
      <c r="E23" t="s">
        <v>139</v>
      </c>
      <c r="F23" t="s">
        <v>67</v>
      </c>
    </row>
    <row r="24" spans="1:6" x14ac:dyDescent="0.25">
      <c r="A24" t="s">
        <v>140</v>
      </c>
      <c r="B24" t="s">
        <v>141</v>
      </c>
      <c r="C24" t="s">
        <v>73</v>
      </c>
      <c r="D24">
        <v>50934</v>
      </c>
      <c r="E24" t="s">
        <v>142</v>
      </c>
      <c r="F24" t="s">
        <v>79</v>
      </c>
    </row>
    <row r="25" spans="1:6" x14ac:dyDescent="0.25">
      <c r="A25" t="s">
        <v>143</v>
      </c>
      <c r="B25" t="s">
        <v>144</v>
      </c>
      <c r="C25" t="s">
        <v>120</v>
      </c>
      <c r="D25">
        <v>50957</v>
      </c>
      <c r="E25" t="s">
        <v>145</v>
      </c>
      <c r="F25" t="s">
        <v>146</v>
      </c>
    </row>
    <row r="26" spans="1:6" x14ac:dyDescent="0.25">
      <c r="A26" t="s">
        <v>147</v>
      </c>
      <c r="B26" t="s">
        <v>148</v>
      </c>
      <c r="C26" t="s">
        <v>65</v>
      </c>
      <c r="D26">
        <v>30964</v>
      </c>
      <c r="E26" t="s">
        <v>149</v>
      </c>
      <c r="F26" t="s">
        <v>111</v>
      </c>
    </row>
    <row r="27" spans="1:6" x14ac:dyDescent="0.25">
      <c r="A27" t="s">
        <v>150</v>
      </c>
      <c r="B27" t="s">
        <v>151</v>
      </c>
      <c r="C27" t="s">
        <v>77</v>
      </c>
      <c r="D27">
        <v>25982</v>
      </c>
      <c r="E27" t="s">
        <v>152</v>
      </c>
      <c r="F27" t="s">
        <v>79</v>
      </c>
    </row>
    <row r="28" spans="1:6" x14ac:dyDescent="0.25">
      <c r="A28" t="s">
        <v>153</v>
      </c>
      <c r="B28" t="s">
        <v>154</v>
      </c>
      <c r="C28" t="s">
        <v>65</v>
      </c>
      <c r="D28">
        <v>30940</v>
      </c>
      <c r="E28" t="s">
        <v>155</v>
      </c>
      <c r="F28" t="s">
        <v>111</v>
      </c>
    </row>
    <row r="29" spans="1:6" x14ac:dyDescent="0.25">
      <c r="A29" t="s">
        <v>156</v>
      </c>
      <c r="B29" t="s">
        <v>157</v>
      </c>
      <c r="C29" t="s">
        <v>73</v>
      </c>
      <c r="D29">
        <v>50901</v>
      </c>
      <c r="E29" t="s">
        <v>158</v>
      </c>
      <c r="F29" t="s">
        <v>67</v>
      </c>
    </row>
    <row r="30" spans="1:6" x14ac:dyDescent="0.25">
      <c r="A30" t="s">
        <v>159</v>
      </c>
      <c r="B30" t="s">
        <v>160</v>
      </c>
      <c r="C30" t="s">
        <v>65</v>
      </c>
      <c r="D30">
        <v>30947</v>
      </c>
      <c r="E30" t="s">
        <v>161</v>
      </c>
      <c r="F30" t="s">
        <v>67</v>
      </c>
    </row>
    <row r="31" spans="1:6" x14ac:dyDescent="0.25">
      <c r="A31" t="s">
        <v>162</v>
      </c>
      <c r="B31" t="s">
        <v>163</v>
      </c>
      <c r="C31" t="s">
        <v>77</v>
      </c>
      <c r="D31">
        <v>50950</v>
      </c>
      <c r="E31" t="s">
        <v>164</v>
      </c>
      <c r="F31" t="s">
        <v>67</v>
      </c>
    </row>
    <row r="32" spans="1:6" x14ac:dyDescent="0.25">
      <c r="A32" t="s">
        <v>90</v>
      </c>
      <c r="B32" t="s">
        <v>165</v>
      </c>
      <c r="C32" t="s">
        <v>77</v>
      </c>
      <c r="D32">
        <v>100924</v>
      </c>
      <c r="E32" t="s">
        <v>166</v>
      </c>
      <c r="F32" t="s">
        <v>67</v>
      </c>
    </row>
    <row r="33" spans="1:6" x14ac:dyDescent="0.25">
      <c r="A33" t="s">
        <v>90</v>
      </c>
      <c r="B33" t="s">
        <v>167</v>
      </c>
      <c r="C33" t="s">
        <v>120</v>
      </c>
      <c r="D33">
        <v>50983</v>
      </c>
      <c r="E33" t="s">
        <v>168</v>
      </c>
      <c r="F33" t="s">
        <v>146</v>
      </c>
    </row>
    <row r="34" spans="1:6" x14ac:dyDescent="0.25">
      <c r="A34" t="s">
        <v>169</v>
      </c>
      <c r="B34" t="s">
        <v>170</v>
      </c>
      <c r="C34" t="s">
        <v>77</v>
      </c>
      <c r="D34">
        <v>50989</v>
      </c>
      <c r="E34" t="s">
        <v>171</v>
      </c>
      <c r="F34" t="s">
        <v>146</v>
      </c>
    </row>
    <row r="35" spans="1:6" x14ac:dyDescent="0.25">
      <c r="A35" t="s">
        <v>172</v>
      </c>
      <c r="B35" t="s">
        <v>173</v>
      </c>
      <c r="C35" t="s">
        <v>77</v>
      </c>
      <c r="D35">
        <v>50943</v>
      </c>
      <c r="E35" t="s">
        <v>174</v>
      </c>
      <c r="F35" t="s">
        <v>79</v>
      </c>
    </row>
    <row r="36" spans="1:6" x14ac:dyDescent="0.25">
      <c r="A36" t="s">
        <v>90</v>
      </c>
      <c r="B36" t="s">
        <v>175</v>
      </c>
      <c r="C36" t="s">
        <v>120</v>
      </c>
      <c r="D36">
        <v>50981</v>
      </c>
      <c r="E36" t="s">
        <v>176</v>
      </c>
      <c r="F36" t="s">
        <v>106</v>
      </c>
    </row>
    <row r="37" spans="1:6" x14ac:dyDescent="0.25">
      <c r="A37" t="s">
        <v>177</v>
      </c>
      <c r="B37" t="s">
        <v>178</v>
      </c>
      <c r="C37" t="s">
        <v>120</v>
      </c>
      <c r="D37">
        <v>50935</v>
      </c>
      <c r="E37" t="s">
        <v>179</v>
      </c>
      <c r="F37" t="s">
        <v>106</v>
      </c>
    </row>
    <row r="38" spans="1:6" x14ac:dyDescent="0.25">
      <c r="A38" t="s">
        <v>180</v>
      </c>
      <c r="B38" t="s">
        <v>181</v>
      </c>
      <c r="C38" t="s">
        <v>182</v>
      </c>
      <c r="D38">
        <v>50939</v>
      </c>
      <c r="E38" t="s">
        <v>183</v>
      </c>
      <c r="F38" t="s">
        <v>111</v>
      </c>
    </row>
    <row r="39" spans="1:6" x14ac:dyDescent="0.25">
      <c r="A39" t="s">
        <v>184</v>
      </c>
      <c r="B39" t="s">
        <v>185</v>
      </c>
      <c r="C39" t="s">
        <v>182</v>
      </c>
      <c r="D39">
        <v>30909</v>
      </c>
      <c r="E39" t="s">
        <v>186</v>
      </c>
      <c r="F39" t="s">
        <v>67</v>
      </c>
    </row>
    <row r="40" spans="1:6" x14ac:dyDescent="0.25">
      <c r="A40" t="s">
        <v>187</v>
      </c>
      <c r="B40" t="s">
        <v>188</v>
      </c>
      <c r="C40" t="s">
        <v>73</v>
      </c>
      <c r="D40">
        <v>50948</v>
      </c>
      <c r="E40" t="s">
        <v>189</v>
      </c>
      <c r="F40" t="s">
        <v>67</v>
      </c>
    </row>
    <row r="41" spans="1:6" x14ac:dyDescent="0.25">
      <c r="A41" t="s">
        <v>190</v>
      </c>
      <c r="B41" t="s">
        <v>191</v>
      </c>
      <c r="C41" t="s">
        <v>73</v>
      </c>
      <c r="D41">
        <v>100968</v>
      </c>
      <c r="E41" t="s">
        <v>192</v>
      </c>
      <c r="F41" t="s">
        <v>146</v>
      </c>
    </row>
    <row r="42" spans="1:6" x14ac:dyDescent="0.25">
      <c r="A42" t="s">
        <v>193</v>
      </c>
      <c r="B42" t="s">
        <v>194</v>
      </c>
      <c r="C42" t="s">
        <v>73</v>
      </c>
      <c r="D42">
        <v>50964</v>
      </c>
      <c r="E42" t="s">
        <v>195</v>
      </c>
      <c r="F42" t="s">
        <v>106</v>
      </c>
    </row>
    <row r="43" spans="1:6" x14ac:dyDescent="0.25">
      <c r="A43" t="s">
        <v>196</v>
      </c>
      <c r="B43" t="s">
        <v>197</v>
      </c>
      <c r="C43" t="s">
        <v>69</v>
      </c>
      <c r="D43">
        <v>50097</v>
      </c>
      <c r="E43" t="s">
        <v>198</v>
      </c>
      <c r="F43" t="s">
        <v>99</v>
      </c>
    </row>
    <row r="44" spans="1:6" x14ac:dyDescent="0.25">
      <c r="A44" t="s">
        <v>199</v>
      </c>
      <c r="B44" t="s">
        <v>200</v>
      </c>
      <c r="C44" t="s">
        <v>201</v>
      </c>
      <c r="D44">
        <v>30425</v>
      </c>
      <c r="E44" t="s">
        <v>202</v>
      </c>
      <c r="F44" t="s">
        <v>67</v>
      </c>
    </row>
    <row r="45" spans="1:6" x14ac:dyDescent="0.25">
      <c r="A45" t="s">
        <v>203</v>
      </c>
      <c r="B45" t="s">
        <v>204</v>
      </c>
      <c r="C45" t="s">
        <v>69</v>
      </c>
      <c r="D45">
        <v>50094</v>
      </c>
      <c r="E45" t="s">
        <v>205</v>
      </c>
      <c r="F45" t="s">
        <v>67</v>
      </c>
    </row>
    <row r="46" spans="1:6" x14ac:dyDescent="0.25">
      <c r="A46" t="s">
        <v>206</v>
      </c>
      <c r="B46" t="s">
        <v>207</v>
      </c>
      <c r="C46" t="s">
        <v>65</v>
      </c>
      <c r="D46">
        <v>30928</v>
      </c>
      <c r="E46" t="s">
        <v>208</v>
      </c>
      <c r="F46" t="s">
        <v>99</v>
      </c>
    </row>
    <row r="47" spans="1:6" x14ac:dyDescent="0.25">
      <c r="A47" t="s">
        <v>209</v>
      </c>
      <c r="B47" t="s">
        <v>210</v>
      </c>
      <c r="C47" t="s">
        <v>77</v>
      </c>
      <c r="D47">
        <v>200986</v>
      </c>
      <c r="E47" t="s">
        <v>211</v>
      </c>
      <c r="F47" t="s">
        <v>67</v>
      </c>
    </row>
    <row r="48" spans="1:6" x14ac:dyDescent="0.25">
      <c r="A48" t="s">
        <v>212</v>
      </c>
      <c r="B48" t="s">
        <v>213</v>
      </c>
      <c r="C48" t="s">
        <v>77</v>
      </c>
      <c r="D48">
        <v>50930</v>
      </c>
      <c r="E48" t="s">
        <v>214</v>
      </c>
      <c r="F48" t="s">
        <v>67</v>
      </c>
    </row>
    <row r="49" spans="1:6" x14ac:dyDescent="0.25">
      <c r="A49" t="s">
        <v>215</v>
      </c>
      <c r="B49" t="s">
        <v>216</v>
      </c>
      <c r="C49" t="s">
        <v>77</v>
      </c>
      <c r="D49">
        <v>100944</v>
      </c>
      <c r="E49" t="s">
        <v>217</v>
      </c>
      <c r="F49" t="s">
        <v>99</v>
      </c>
    </row>
    <row r="50" spans="1:6" x14ac:dyDescent="0.25">
      <c r="A50" t="s">
        <v>218</v>
      </c>
      <c r="B50" t="s">
        <v>219</v>
      </c>
      <c r="C50" t="s">
        <v>220</v>
      </c>
      <c r="D50">
        <v>30925</v>
      </c>
      <c r="E50" t="s">
        <v>221</v>
      </c>
      <c r="F50" t="s">
        <v>67</v>
      </c>
    </row>
    <row r="51" spans="1:6" x14ac:dyDescent="0.25">
      <c r="A51" t="s">
        <v>222</v>
      </c>
      <c r="B51" t="s">
        <v>223</v>
      </c>
      <c r="C51" t="s">
        <v>65</v>
      </c>
      <c r="D51">
        <v>30938</v>
      </c>
      <c r="E51" t="s">
        <v>224</v>
      </c>
      <c r="F51" t="s">
        <v>67</v>
      </c>
    </row>
    <row r="52" spans="1:6" x14ac:dyDescent="0.25">
      <c r="A52" t="s">
        <v>225</v>
      </c>
      <c r="B52" t="s">
        <v>226</v>
      </c>
      <c r="C52" t="s">
        <v>65</v>
      </c>
      <c r="D52">
        <v>30965</v>
      </c>
      <c r="E52" t="s">
        <v>227</v>
      </c>
      <c r="F52" t="s">
        <v>228</v>
      </c>
    </row>
    <row r="53" spans="1:6" x14ac:dyDescent="0.25">
      <c r="A53" t="s">
        <v>229</v>
      </c>
      <c r="B53" t="s">
        <v>230</v>
      </c>
      <c r="C53" t="s">
        <v>77</v>
      </c>
      <c r="D53">
        <v>50930</v>
      </c>
      <c r="E53" t="s">
        <v>231</v>
      </c>
      <c r="F53" t="s">
        <v>67</v>
      </c>
    </row>
    <row r="54" spans="1:6" x14ac:dyDescent="0.25">
      <c r="A54" t="s">
        <v>232</v>
      </c>
      <c r="B54" t="s">
        <v>233</v>
      </c>
      <c r="C54" t="s">
        <v>69</v>
      </c>
      <c r="D54">
        <v>30096</v>
      </c>
      <c r="E54" t="s">
        <v>234</v>
      </c>
      <c r="F54" t="s">
        <v>235</v>
      </c>
    </row>
    <row r="55" spans="1:6" x14ac:dyDescent="0.25">
      <c r="A55" t="s">
        <v>236</v>
      </c>
      <c r="B55" t="s">
        <v>237</v>
      </c>
      <c r="C55" t="s">
        <v>77</v>
      </c>
      <c r="D55">
        <v>50939</v>
      </c>
      <c r="E55" t="s">
        <v>238</v>
      </c>
      <c r="F55" t="s">
        <v>67</v>
      </c>
    </row>
    <row r="56" spans="1:6" x14ac:dyDescent="0.25">
      <c r="A56" t="s">
        <v>239</v>
      </c>
      <c r="B56" t="s">
        <v>240</v>
      </c>
      <c r="C56" t="s">
        <v>77</v>
      </c>
      <c r="D56">
        <v>100000</v>
      </c>
      <c r="E56" t="s">
        <v>241</v>
      </c>
      <c r="F56" t="s">
        <v>67</v>
      </c>
    </row>
    <row r="57" spans="1:6" x14ac:dyDescent="0.25">
      <c r="A57" t="s">
        <v>242</v>
      </c>
      <c r="B57" t="s">
        <v>243</v>
      </c>
      <c r="C57" t="s">
        <v>65</v>
      </c>
      <c r="D57">
        <v>30929</v>
      </c>
      <c r="E57" t="s">
        <v>244</v>
      </c>
      <c r="F57" t="s">
        <v>99</v>
      </c>
    </row>
    <row r="58" spans="1:6" x14ac:dyDescent="0.25">
      <c r="A58" t="s">
        <v>245</v>
      </c>
      <c r="B58" t="s">
        <v>246</v>
      </c>
      <c r="C58" t="s">
        <v>120</v>
      </c>
      <c r="D58">
        <v>50956</v>
      </c>
      <c r="E58" t="s">
        <v>247</v>
      </c>
      <c r="F58" t="s">
        <v>79</v>
      </c>
    </row>
    <row r="59" spans="1:6" x14ac:dyDescent="0.25">
      <c r="A59" t="s">
        <v>248</v>
      </c>
      <c r="B59" t="s">
        <v>249</v>
      </c>
      <c r="C59" t="s">
        <v>73</v>
      </c>
      <c r="D59">
        <v>50962</v>
      </c>
      <c r="E59" t="s">
        <v>250</v>
      </c>
      <c r="F59" t="s">
        <v>106</v>
      </c>
    </row>
    <row r="60" spans="1:6" x14ac:dyDescent="0.25">
      <c r="A60" t="s">
        <v>251</v>
      </c>
      <c r="B60" t="s">
        <v>252</v>
      </c>
      <c r="C60" t="s">
        <v>77</v>
      </c>
      <c r="D60">
        <v>50994</v>
      </c>
      <c r="E60" t="s">
        <v>253</v>
      </c>
      <c r="F60" t="s">
        <v>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89"/>
  <sheetViews>
    <sheetView topLeftCell="A354" workbookViewId="0">
      <selection activeCell="A2" sqref="A2:F389"/>
    </sheetView>
  </sheetViews>
  <sheetFormatPr defaultRowHeight="15" x14ac:dyDescent="0.25"/>
  <cols>
    <col min="3" max="3" width="51.28515625" bestFit="1" customWidth="1"/>
    <col min="4" max="4" width="9" bestFit="1" customWidth="1"/>
    <col min="5" max="5" width="18.140625" bestFit="1" customWidth="1"/>
    <col min="6" max="6" width="42.42578125" bestFit="1" customWidth="1"/>
  </cols>
  <sheetData>
    <row r="1" spans="1:6" x14ac:dyDescent="0.25">
      <c r="A1" t="s">
        <v>62</v>
      </c>
      <c r="B1" t="s">
        <v>5</v>
      </c>
      <c r="C1" t="s">
        <v>3</v>
      </c>
      <c r="D1" t="s">
        <v>2</v>
      </c>
      <c r="E1" t="s">
        <v>63</v>
      </c>
      <c r="F1" t="s">
        <v>12</v>
      </c>
    </row>
    <row r="2" spans="1:6" x14ac:dyDescent="0.25">
      <c r="A2" t="s">
        <v>255</v>
      </c>
      <c r="B2">
        <v>12345678</v>
      </c>
      <c r="C2" t="s">
        <v>73</v>
      </c>
      <c r="D2">
        <v>100925</v>
      </c>
      <c r="E2" t="s">
        <v>256</v>
      </c>
      <c r="F2" t="s">
        <v>106</v>
      </c>
    </row>
    <row r="3" spans="1:6" x14ac:dyDescent="0.25">
      <c r="A3" t="s">
        <v>90</v>
      </c>
      <c r="B3">
        <v>12345678910</v>
      </c>
      <c r="C3" t="s">
        <v>73</v>
      </c>
      <c r="D3">
        <v>50955</v>
      </c>
      <c r="E3" t="s">
        <v>257</v>
      </c>
      <c r="F3" t="s">
        <v>258</v>
      </c>
    </row>
    <row r="4" spans="1:6" x14ac:dyDescent="0.25">
      <c r="A4" t="s">
        <v>259</v>
      </c>
      <c r="B4">
        <v>81291771923</v>
      </c>
      <c r="C4" t="s">
        <v>73</v>
      </c>
      <c r="D4">
        <v>100946</v>
      </c>
      <c r="E4" t="s">
        <v>260</v>
      </c>
      <c r="F4" t="s">
        <v>67</v>
      </c>
    </row>
    <row r="5" spans="1:6" x14ac:dyDescent="0.25">
      <c r="A5" t="s">
        <v>261</v>
      </c>
      <c r="B5">
        <v>81938722789</v>
      </c>
      <c r="C5" t="s">
        <v>73</v>
      </c>
      <c r="D5">
        <v>100914</v>
      </c>
      <c r="E5" t="s">
        <v>262</v>
      </c>
      <c r="F5" t="s">
        <v>258</v>
      </c>
    </row>
    <row r="6" spans="1:6" x14ac:dyDescent="0.25">
      <c r="A6" t="s">
        <v>263</v>
      </c>
      <c r="B6">
        <v>81939771063</v>
      </c>
      <c r="C6" t="s">
        <v>73</v>
      </c>
      <c r="D6">
        <v>100954</v>
      </c>
      <c r="E6" t="s">
        <v>264</v>
      </c>
      <c r="F6" t="s">
        <v>111</v>
      </c>
    </row>
    <row r="7" spans="1:6" x14ac:dyDescent="0.25">
      <c r="A7" t="s">
        <v>90</v>
      </c>
      <c r="B7">
        <v>82185899514</v>
      </c>
      <c r="C7" t="s">
        <v>73</v>
      </c>
      <c r="D7">
        <v>50942</v>
      </c>
      <c r="E7" t="s">
        <v>265</v>
      </c>
      <c r="F7" t="s">
        <v>266</v>
      </c>
    </row>
    <row r="8" spans="1:6" x14ac:dyDescent="0.25">
      <c r="A8" t="s">
        <v>267</v>
      </c>
      <c r="B8">
        <v>82221113339</v>
      </c>
      <c r="C8" t="s">
        <v>268</v>
      </c>
      <c r="D8">
        <v>100943</v>
      </c>
      <c r="E8" t="s">
        <v>269</v>
      </c>
      <c r="F8" t="s">
        <v>67</v>
      </c>
    </row>
    <row r="9" spans="1:6" x14ac:dyDescent="0.25">
      <c r="A9" t="s">
        <v>270</v>
      </c>
      <c r="B9">
        <v>82285085956</v>
      </c>
      <c r="C9" t="s">
        <v>73</v>
      </c>
      <c r="D9">
        <v>100924</v>
      </c>
      <c r="E9" t="s">
        <v>271</v>
      </c>
      <c r="F9" t="s">
        <v>272</v>
      </c>
    </row>
    <row r="10" spans="1:6" x14ac:dyDescent="0.25">
      <c r="A10" t="s">
        <v>90</v>
      </c>
      <c r="B10">
        <v>82338157305</v>
      </c>
      <c r="C10" t="s">
        <v>77</v>
      </c>
      <c r="D10">
        <v>100981</v>
      </c>
      <c r="E10" t="s">
        <v>273</v>
      </c>
      <c r="F10" t="s">
        <v>235</v>
      </c>
    </row>
    <row r="11" spans="1:6" x14ac:dyDescent="0.25">
      <c r="A11" t="s">
        <v>274</v>
      </c>
      <c r="B11">
        <v>85739663242</v>
      </c>
      <c r="C11" t="s">
        <v>73</v>
      </c>
      <c r="D11">
        <v>250915</v>
      </c>
      <c r="E11" t="s">
        <v>275</v>
      </c>
      <c r="F11" t="s">
        <v>266</v>
      </c>
    </row>
    <row r="12" spans="1:6" x14ac:dyDescent="0.25">
      <c r="A12" t="s">
        <v>276</v>
      </c>
      <c r="B12">
        <v>85780023437</v>
      </c>
      <c r="C12" t="s">
        <v>73</v>
      </c>
      <c r="D12">
        <v>50936</v>
      </c>
      <c r="E12" t="s">
        <v>277</v>
      </c>
      <c r="F12" t="s">
        <v>258</v>
      </c>
    </row>
    <row r="13" spans="1:6" x14ac:dyDescent="0.25">
      <c r="A13" t="s">
        <v>278</v>
      </c>
      <c r="B13">
        <v>85830821994</v>
      </c>
      <c r="C13" t="s">
        <v>268</v>
      </c>
      <c r="D13">
        <v>100934</v>
      </c>
      <c r="E13" t="s">
        <v>279</v>
      </c>
      <c r="F13" t="s">
        <v>67</v>
      </c>
    </row>
    <row r="14" spans="1:6" x14ac:dyDescent="0.25">
      <c r="A14" t="s">
        <v>280</v>
      </c>
      <c r="B14">
        <v>85932208252</v>
      </c>
      <c r="C14" t="s">
        <v>73</v>
      </c>
      <c r="D14">
        <v>100991</v>
      </c>
      <c r="E14" t="s">
        <v>281</v>
      </c>
      <c r="F14" t="s">
        <v>67</v>
      </c>
    </row>
    <row r="15" spans="1:6" x14ac:dyDescent="0.25">
      <c r="A15" t="s">
        <v>282</v>
      </c>
      <c r="B15">
        <v>87730300832</v>
      </c>
      <c r="C15" t="s">
        <v>73</v>
      </c>
      <c r="D15">
        <v>100954</v>
      </c>
      <c r="E15" t="s">
        <v>283</v>
      </c>
      <c r="F15" t="s">
        <v>111</v>
      </c>
    </row>
    <row r="16" spans="1:6" x14ac:dyDescent="0.25">
      <c r="A16" t="s">
        <v>284</v>
      </c>
      <c r="B16">
        <v>87747820851</v>
      </c>
      <c r="C16" t="s">
        <v>73</v>
      </c>
      <c r="D16">
        <v>50994</v>
      </c>
      <c r="E16" t="s">
        <v>285</v>
      </c>
      <c r="F16" t="s">
        <v>266</v>
      </c>
    </row>
    <row r="17" spans="1:6" x14ac:dyDescent="0.25">
      <c r="A17" t="s">
        <v>286</v>
      </c>
      <c r="B17">
        <v>87866312332</v>
      </c>
      <c r="C17" t="s">
        <v>73</v>
      </c>
      <c r="D17">
        <v>50985</v>
      </c>
      <c r="E17" t="s">
        <v>287</v>
      </c>
      <c r="F17" t="s">
        <v>266</v>
      </c>
    </row>
    <row r="18" spans="1:6" x14ac:dyDescent="0.25">
      <c r="A18" t="s">
        <v>288</v>
      </c>
      <c r="B18">
        <v>6282190125606</v>
      </c>
      <c r="C18" t="s">
        <v>73</v>
      </c>
      <c r="D18">
        <v>50912</v>
      </c>
      <c r="E18" t="s">
        <v>289</v>
      </c>
      <c r="F18" t="s">
        <v>272</v>
      </c>
    </row>
    <row r="19" spans="1:6" x14ac:dyDescent="0.25">
      <c r="A19" t="s">
        <v>290</v>
      </c>
      <c r="B19" t="s">
        <v>291</v>
      </c>
      <c r="C19" t="s">
        <v>73</v>
      </c>
      <c r="D19">
        <v>100991</v>
      </c>
      <c r="E19" t="s">
        <v>292</v>
      </c>
      <c r="F19" t="s">
        <v>67</v>
      </c>
    </row>
    <row r="20" spans="1:6" x14ac:dyDescent="0.25">
      <c r="A20" t="s">
        <v>90</v>
      </c>
      <c r="B20" t="s">
        <v>293</v>
      </c>
      <c r="C20" t="s">
        <v>77</v>
      </c>
      <c r="D20">
        <v>100988</v>
      </c>
      <c r="E20" t="s">
        <v>294</v>
      </c>
      <c r="F20" t="s">
        <v>99</v>
      </c>
    </row>
    <row r="21" spans="1:6" x14ac:dyDescent="0.25">
      <c r="A21" t="s">
        <v>295</v>
      </c>
      <c r="B21" t="s">
        <v>296</v>
      </c>
      <c r="C21" t="s">
        <v>268</v>
      </c>
      <c r="D21">
        <v>100902</v>
      </c>
      <c r="E21" t="s">
        <v>297</v>
      </c>
      <c r="F21" t="s">
        <v>67</v>
      </c>
    </row>
    <row r="22" spans="1:6" x14ac:dyDescent="0.25">
      <c r="A22" t="s">
        <v>90</v>
      </c>
      <c r="B22" t="s">
        <v>298</v>
      </c>
      <c r="C22" t="s">
        <v>299</v>
      </c>
      <c r="D22">
        <v>50980</v>
      </c>
      <c r="E22" t="s">
        <v>300</v>
      </c>
      <c r="F22" t="s">
        <v>266</v>
      </c>
    </row>
    <row r="23" spans="1:6" x14ac:dyDescent="0.25">
      <c r="A23" t="s">
        <v>301</v>
      </c>
      <c r="B23" t="s">
        <v>302</v>
      </c>
      <c r="C23" t="s">
        <v>73</v>
      </c>
      <c r="D23">
        <v>50963</v>
      </c>
      <c r="E23" t="s">
        <v>303</v>
      </c>
      <c r="F23" t="s">
        <v>235</v>
      </c>
    </row>
    <row r="24" spans="1:6" x14ac:dyDescent="0.25">
      <c r="A24" t="s">
        <v>304</v>
      </c>
      <c r="B24" t="s">
        <v>305</v>
      </c>
      <c r="C24" t="s">
        <v>73</v>
      </c>
      <c r="D24">
        <v>100909</v>
      </c>
      <c r="E24" t="s">
        <v>306</v>
      </c>
      <c r="F24" t="s">
        <v>235</v>
      </c>
    </row>
    <row r="25" spans="1:6" x14ac:dyDescent="0.25">
      <c r="A25" t="s">
        <v>307</v>
      </c>
      <c r="B25" t="s">
        <v>308</v>
      </c>
      <c r="C25" t="s">
        <v>65</v>
      </c>
      <c r="D25">
        <v>10918</v>
      </c>
      <c r="E25" t="s">
        <v>309</v>
      </c>
      <c r="F25" t="s">
        <v>79</v>
      </c>
    </row>
    <row r="26" spans="1:6" x14ac:dyDescent="0.25">
      <c r="A26" t="s">
        <v>310</v>
      </c>
      <c r="B26" t="s">
        <v>311</v>
      </c>
      <c r="C26" t="s">
        <v>73</v>
      </c>
      <c r="D26">
        <v>50917</v>
      </c>
      <c r="E26" t="s">
        <v>312</v>
      </c>
      <c r="F26" t="s">
        <v>106</v>
      </c>
    </row>
    <row r="27" spans="1:6" x14ac:dyDescent="0.25">
      <c r="A27" t="s">
        <v>313</v>
      </c>
      <c r="B27" t="s">
        <v>314</v>
      </c>
      <c r="C27" t="s">
        <v>73</v>
      </c>
      <c r="D27">
        <v>50976</v>
      </c>
      <c r="E27" t="s">
        <v>315</v>
      </c>
      <c r="F27" t="s">
        <v>67</v>
      </c>
    </row>
    <row r="28" spans="1:6" x14ac:dyDescent="0.25">
      <c r="A28" t="s">
        <v>316</v>
      </c>
      <c r="B28" t="s">
        <v>317</v>
      </c>
      <c r="C28" t="s">
        <v>268</v>
      </c>
      <c r="D28">
        <v>100953</v>
      </c>
      <c r="E28" t="s">
        <v>318</v>
      </c>
      <c r="F28" t="s">
        <v>319</v>
      </c>
    </row>
    <row r="29" spans="1:6" x14ac:dyDescent="0.25">
      <c r="A29" t="s">
        <v>320</v>
      </c>
      <c r="B29" t="s">
        <v>321</v>
      </c>
      <c r="C29" t="s">
        <v>73</v>
      </c>
      <c r="D29">
        <v>100901</v>
      </c>
      <c r="E29" t="s">
        <v>322</v>
      </c>
      <c r="F29" t="s">
        <v>67</v>
      </c>
    </row>
    <row r="30" spans="1:6" x14ac:dyDescent="0.25">
      <c r="A30" t="s">
        <v>323</v>
      </c>
      <c r="B30" t="s">
        <v>324</v>
      </c>
      <c r="C30" t="s">
        <v>77</v>
      </c>
      <c r="D30">
        <v>50967</v>
      </c>
      <c r="E30" t="s">
        <v>325</v>
      </c>
      <c r="F30" t="s">
        <v>111</v>
      </c>
    </row>
    <row r="31" spans="1:6" x14ac:dyDescent="0.25">
      <c r="A31" t="s">
        <v>326</v>
      </c>
      <c r="B31" t="s">
        <v>327</v>
      </c>
      <c r="C31" t="s">
        <v>77</v>
      </c>
      <c r="D31">
        <v>100979</v>
      </c>
      <c r="E31" t="s">
        <v>328</v>
      </c>
      <c r="F31" t="s">
        <v>106</v>
      </c>
    </row>
    <row r="32" spans="1:6" x14ac:dyDescent="0.25">
      <c r="A32" t="s">
        <v>90</v>
      </c>
      <c r="B32" t="s">
        <v>329</v>
      </c>
      <c r="C32" t="s">
        <v>73</v>
      </c>
      <c r="D32">
        <v>100968</v>
      </c>
      <c r="E32" t="s">
        <v>330</v>
      </c>
      <c r="F32" t="s">
        <v>235</v>
      </c>
    </row>
    <row r="33" spans="1:6" x14ac:dyDescent="0.25">
      <c r="A33" t="s">
        <v>331</v>
      </c>
      <c r="B33" t="s">
        <v>332</v>
      </c>
      <c r="C33" t="s">
        <v>268</v>
      </c>
      <c r="D33">
        <v>100942</v>
      </c>
      <c r="E33" t="s">
        <v>333</v>
      </c>
      <c r="F33" t="s">
        <v>258</v>
      </c>
    </row>
    <row r="34" spans="1:6" x14ac:dyDescent="0.25">
      <c r="A34" t="s">
        <v>334</v>
      </c>
      <c r="B34" t="s">
        <v>335</v>
      </c>
      <c r="C34" t="s">
        <v>73</v>
      </c>
      <c r="D34">
        <v>50970</v>
      </c>
      <c r="E34" t="s">
        <v>336</v>
      </c>
      <c r="F34" t="s">
        <v>272</v>
      </c>
    </row>
    <row r="35" spans="1:6" x14ac:dyDescent="0.25">
      <c r="A35" t="s">
        <v>90</v>
      </c>
      <c r="B35" t="s">
        <v>337</v>
      </c>
      <c r="C35" t="s">
        <v>77</v>
      </c>
      <c r="D35">
        <v>500921</v>
      </c>
      <c r="E35" t="s">
        <v>338</v>
      </c>
      <c r="F35" t="s">
        <v>235</v>
      </c>
    </row>
    <row r="36" spans="1:6" x14ac:dyDescent="0.25">
      <c r="A36" t="s">
        <v>339</v>
      </c>
      <c r="B36" t="s">
        <v>340</v>
      </c>
      <c r="C36" t="s">
        <v>73</v>
      </c>
      <c r="D36">
        <v>50905</v>
      </c>
      <c r="E36" t="s">
        <v>341</v>
      </c>
      <c r="F36" t="s">
        <v>111</v>
      </c>
    </row>
    <row r="37" spans="1:6" x14ac:dyDescent="0.25">
      <c r="A37" t="s">
        <v>342</v>
      </c>
      <c r="B37" t="s">
        <v>343</v>
      </c>
      <c r="C37" t="s">
        <v>73</v>
      </c>
      <c r="D37">
        <v>100960</v>
      </c>
      <c r="E37" t="s">
        <v>344</v>
      </c>
      <c r="F37" t="s">
        <v>111</v>
      </c>
    </row>
    <row r="38" spans="1:6" x14ac:dyDescent="0.25">
      <c r="A38" t="s">
        <v>345</v>
      </c>
      <c r="B38" t="s">
        <v>346</v>
      </c>
      <c r="C38" t="s">
        <v>73</v>
      </c>
      <c r="D38">
        <v>50957</v>
      </c>
      <c r="E38" t="s">
        <v>347</v>
      </c>
      <c r="F38" t="s">
        <v>111</v>
      </c>
    </row>
    <row r="39" spans="1:6" x14ac:dyDescent="0.25">
      <c r="A39" t="s">
        <v>348</v>
      </c>
      <c r="B39" t="s">
        <v>349</v>
      </c>
      <c r="C39" t="s">
        <v>77</v>
      </c>
      <c r="D39">
        <v>50906</v>
      </c>
      <c r="E39" t="s">
        <v>350</v>
      </c>
      <c r="F39" t="s">
        <v>111</v>
      </c>
    </row>
    <row r="40" spans="1:6" x14ac:dyDescent="0.25">
      <c r="A40" t="s">
        <v>222</v>
      </c>
      <c r="B40" t="s">
        <v>351</v>
      </c>
      <c r="C40" t="s">
        <v>73</v>
      </c>
      <c r="D40">
        <v>100939</v>
      </c>
      <c r="E40" t="s">
        <v>352</v>
      </c>
      <c r="F40" t="s">
        <v>99</v>
      </c>
    </row>
    <row r="41" spans="1:6" x14ac:dyDescent="0.25">
      <c r="A41" t="s">
        <v>90</v>
      </c>
      <c r="B41" t="s">
        <v>353</v>
      </c>
      <c r="C41" t="s">
        <v>73</v>
      </c>
      <c r="D41">
        <v>150000</v>
      </c>
      <c r="E41" t="s">
        <v>354</v>
      </c>
      <c r="F41" t="s">
        <v>67</v>
      </c>
    </row>
    <row r="42" spans="1:6" x14ac:dyDescent="0.25">
      <c r="A42" t="s">
        <v>355</v>
      </c>
      <c r="B42" t="s">
        <v>356</v>
      </c>
      <c r="C42" t="s">
        <v>77</v>
      </c>
      <c r="D42">
        <v>100913</v>
      </c>
      <c r="E42" t="s">
        <v>357</v>
      </c>
      <c r="F42" t="s">
        <v>111</v>
      </c>
    </row>
    <row r="43" spans="1:6" x14ac:dyDescent="0.25">
      <c r="A43" t="s">
        <v>358</v>
      </c>
      <c r="B43" t="s">
        <v>359</v>
      </c>
      <c r="C43" t="s">
        <v>73</v>
      </c>
      <c r="D43">
        <v>100901</v>
      </c>
      <c r="E43" t="s">
        <v>360</v>
      </c>
      <c r="F43" t="s">
        <v>235</v>
      </c>
    </row>
    <row r="44" spans="1:6" x14ac:dyDescent="0.25">
      <c r="A44" t="s">
        <v>361</v>
      </c>
      <c r="B44" t="s">
        <v>362</v>
      </c>
      <c r="C44" t="s">
        <v>77</v>
      </c>
      <c r="D44">
        <v>50914</v>
      </c>
      <c r="E44" t="s">
        <v>363</v>
      </c>
      <c r="F44" t="s">
        <v>67</v>
      </c>
    </row>
    <row r="45" spans="1:6" x14ac:dyDescent="0.25">
      <c r="A45" t="s">
        <v>364</v>
      </c>
      <c r="B45" t="s">
        <v>365</v>
      </c>
      <c r="C45" t="s">
        <v>73</v>
      </c>
      <c r="D45">
        <v>100989</v>
      </c>
      <c r="E45" t="s">
        <v>366</v>
      </c>
      <c r="F45" t="s">
        <v>272</v>
      </c>
    </row>
    <row r="46" spans="1:6" x14ac:dyDescent="0.25">
      <c r="A46" t="s">
        <v>367</v>
      </c>
      <c r="B46" t="s">
        <v>368</v>
      </c>
      <c r="C46" t="s">
        <v>73</v>
      </c>
      <c r="D46">
        <v>100978</v>
      </c>
      <c r="E46" t="s">
        <v>369</v>
      </c>
      <c r="F46" t="s">
        <v>111</v>
      </c>
    </row>
    <row r="47" spans="1:6" x14ac:dyDescent="0.25">
      <c r="A47" t="s">
        <v>370</v>
      </c>
      <c r="B47" t="s">
        <v>371</v>
      </c>
      <c r="C47" t="s">
        <v>77</v>
      </c>
      <c r="D47">
        <v>100919</v>
      </c>
      <c r="E47" t="s">
        <v>372</v>
      </c>
      <c r="F47" t="s">
        <v>111</v>
      </c>
    </row>
    <row r="48" spans="1:6" x14ac:dyDescent="0.25">
      <c r="A48" t="s">
        <v>373</v>
      </c>
      <c r="B48" t="s">
        <v>374</v>
      </c>
      <c r="C48" t="s">
        <v>73</v>
      </c>
      <c r="D48">
        <v>100985</v>
      </c>
      <c r="E48" t="s">
        <v>375</v>
      </c>
      <c r="F48" t="s">
        <v>146</v>
      </c>
    </row>
    <row r="49" spans="1:6" x14ac:dyDescent="0.25">
      <c r="A49" t="s">
        <v>376</v>
      </c>
      <c r="B49" t="s">
        <v>377</v>
      </c>
      <c r="C49" t="s">
        <v>299</v>
      </c>
      <c r="D49">
        <v>50943</v>
      </c>
      <c r="E49" t="s">
        <v>378</v>
      </c>
      <c r="F49" t="s">
        <v>379</v>
      </c>
    </row>
    <row r="50" spans="1:6" x14ac:dyDescent="0.25">
      <c r="A50" t="s">
        <v>380</v>
      </c>
      <c r="B50" t="s">
        <v>381</v>
      </c>
      <c r="C50" t="s">
        <v>77</v>
      </c>
      <c r="D50">
        <v>100942</v>
      </c>
      <c r="E50" t="s">
        <v>382</v>
      </c>
      <c r="F50" t="s">
        <v>67</v>
      </c>
    </row>
    <row r="51" spans="1:6" x14ac:dyDescent="0.25">
      <c r="A51" t="s">
        <v>383</v>
      </c>
      <c r="B51" t="s">
        <v>384</v>
      </c>
      <c r="C51" t="s">
        <v>73</v>
      </c>
      <c r="D51">
        <v>100000</v>
      </c>
      <c r="E51" t="s">
        <v>385</v>
      </c>
      <c r="F51" t="s">
        <v>386</v>
      </c>
    </row>
    <row r="52" spans="1:6" x14ac:dyDescent="0.25">
      <c r="A52" t="s">
        <v>387</v>
      </c>
      <c r="B52" t="s">
        <v>388</v>
      </c>
      <c r="C52" t="s">
        <v>268</v>
      </c>
      <c r="D52">
        <v>1000940</v>
      </c>
      <c r="E52" t="s">
        <v>389</v>
      </c>
      <c r="F52" t="s">
        <v>111</v>
      </c>
    </row>
    <row r="53" spans="1:6" x14ac:dyDescent="0.25">
      <c r="A53" t="s">
        <v>390</v>
      </c>
      <c r="B53" t="s">
        <v>391</v>
      </c>
      <c r="C53" t="s">
        <v>73</v>
      </c>
      <c r="D53">
        <v>100000</v>
      </c>
      <c r="E53" t="s">
        <v>392</v>
      </c>
      <c r="F53" t="s">
        <v>67</v>
      </c>
    </row>
    <row r="54" spans="1:6" x14ac:dyDescent="0.25">
      <c r="A54" t="s">
        <v>393</v>
      </c>
      <c r="B54" t="s">
        <v>394</v>
      </c>
      <c r="C54" t="s">
        <v>268</v>
      </c>
      <c r="D54">
        <v>100924</v>
      </c>
      <c r="E54" t="s">
        <v>395</v>
      </c>
      <c r="F54" t="s">
        <v>111</v>
      </c>
    </row>
    <row r="55" spans="1:6" x14ac:dyDescent="0.25">
      <c r="A55" t="s">
        <v>396</v>
      </c>
      <c r="B55" t="s">
        <v>397</v>
      </c>
      <c r="C55" t="s">
        <v>77</v>
      </c>
      <c r="D55">
        <v>50913</v>
      </c>
      <c r="E55" t="s">
        <v>398</v>
      </c>
      <c r="F55" t="s">
        <v>235</v>
      </c>
    </row>
    <row r="56" spans="1:6" x14ac:dyDescent="0.25">
      <c r="A56" t="s">
        <v>399</v>
      </c>
      <c r="B56" t="s">
        <v>400</v>
      </c>
      <c r="C56" t="s">
        <v>77</v>
      </c>
      <c r="D56">
        <v>50000</v>
      </c>
      <c r="E56" t="s">
        <v>401</v>
      </c>
      <c r="F56" t="s">
        <v>67</v>
      </c>
    </row>
    <row r="57" spans="1:6" x14ac:dyDescent="0.25">
      <c r="A57" t="s">
        <v>402</v>
      </c>
      <c r="B57" t="s">
        <v>403</v>
      </c>
      <c r="C57" t="s">
        <v>77</v>
      </c>
      <c r="D57">
        <v>100924</v>
      </c>
      <c r="E57" t="s">
        <v>404</v>
      </c>
      <c r="F57" t="s">
        <v>106</v>
      </c>
    </row>
    <row r="58" spans="1:6" x14ac:dyDescent="0.25">
      <c r="A58" t="s">
        <v>405</v>
      </c>
      <c r="B58" t="s">
        <v>406</v>
      </c>
      <c r="C58" t="s">
        <v>77</v>
      </c>
      <c r="D58">
        <v>100973</v>
      </c>
      <c r="E58" t="s">
        <v>407</v>
      </c>
      <c r="F58" t="s">
        <v>67</v>
      </c>
    </row>
    <row r="59" spans="1:6" x14ac:dyDescent="0.25">
      <c r="A59" t="s">
        <v>408</v>
      </c>
      <c r="B59" t="s">
        <v>409</v>
      </c>
      <c r="C59" t="s">
        <v>299</v>
      </c>
      <c r="D59">
        <v>50942</v>
      </c>
      <c r="E59" t="s">
        <v>410</v>
      </c>
      <c r="F59" t="s">
        <v>111</v>
      </c>
    </row>
    <row r="60" spans="1:6" x14ac:dyDescent="0.25">
      <c r="A60" t="s">
        <v>411</v>
      </c>
      <c r="B60" t="s">
        <v>84</v>
      </c>
      <c r="C60" t="s">
        <v>412</v>
      </c>
      <c r="D60">
        <v>150973</v>
      </c>
      <c r="E60" t="s">
        <v>413</v>
      </c>
      <c r="F60" t="s">
        <v>99</v>
      </c>
    </row>
    <row r="61" spans="1:6" x14ac:dyDescent="0.25">
      <c r="A61" t="s">
        <v>414</v>
      </c>
      <c r="B61" t="s">
        <v>415</v>
      </c>
      <c r="C61" t="s">
        <v>77</v>
      </c>
      <c r="D61">
        <v>100923</v>
      </c>
      <c r="E61" t="s">
        <v>416</v>
      </c>
      <c r="F61" t="s">
        <v>111</v>
      </c>
    </row>
    <row r="62" spans="1:6" x14ac:dyDescent="0.25">
      <c r="A62" t="s">
        <v>417</v>
      </c>
      <c r="B62" t="s">
        <v>418</v>
      </c>
      <c r="C62" t="s">
        <v>77</v>
      </c>
      <c r="D62">
        <v>100929</v>
      </c>
      <c r="E62" t="s">
        <v>419</v>
      </c>
      <c r="F62" t="s">
        <v>272</v>
      </c>
    </row>
    <row r="63" spans="1:6" x14ac:dyDescent="0.25">
      <c r="A63" t="s">
        <v>420</v>
      </c>
      <c r="B63" t="s">
        <v>421</v>
      </c>
      <c r="C63" t="s">
        <v>77</v>
      </c>
      <c r="D63">
        <v>50904</v>
      </c>
      <c r="E63" t="s">
        <v>422</v>
      </c>
      <c r="F63" t="s">
        <v>146</v>
      </c>
    </row>
    <row r="64" spans="1:6" x14ac:dyDescent="0.25">
      <c r="A64" t="s">
        <v>423</v>
      </c>
      <c r="B64" t="s">
        <v>424</v>
      </c>
      <c r="C64" t="s">
        <v>77</v>
      </c>
      <c r="D64">
        <v>150000</v>
      </c>
      <c r="E64" t="s">
        <v>425</v>
      </c>
      <c r="F64" t="s">
        <v>266</v>
      </c>
    </row>
    <row r="65" spans="1:6" x14ac:dyDescent="0.25">
      <c r="A65" t="s">
        <v>426</v>
      </c>
      <c r="B65" t="s">
        <v>427</v>
      </c>
      <c r="C65" t="s">
        <v>77</v>
      </c>
      <c r="D65">
        <v>50990</v>
      </c>
      <c r="E65" t="s">
        <v>428</v>
      </c>
      <c r="F65" t="s">
        <v>111</v>
      </c>
    </row>
    <row r="66" spans="1:6" x14ac:dyDescent="0.25">
      <c r="A66" t="s">
        <v>429</v>
      </c>
      <c r="B66" t="s">
        <v>430</v>
      </c>
      <c r="C66" t="s">
        <v>431</v>
      </c>
      <c r="D66">
        <v>100917</v>
      </c>
      <c r="E66" t="s">
        <v>432</v>
      </c>
      <c r="F66" t="s">
        <v>258</v>
      </c>
    </row>
    <row r="67" spans="1:6" x14ac:dyDescent="0.25">
      <c r="A67" t="s">
        <v>433</v>
      </c>
      <c r="B67" t="s">
        <v>434</v>
      </c>
      <c r="C67" t="s">
        <v>268</v>
      </c>
      <c r="D67">
        <v>100924</v>
      </c>
      <c r="E67" t="s">
        <v>435</v>
      </c>
      <c r="F67" t="s">
        <v>258</v>
      </c>
    </row>
    <row r="68" spans="1:6" x14ac:dyDescent="0.25">
      <c r="A68" t="s">
        <v>436</v>
      </c>
      <c r="B68" t="s">
        <v>437</v>
      </c>
      <c r="C68" t="s">
        <v>77</v>
      </c>
      <c r="D68">
        <v>100973</v>
      </c>
      <c r="E68" t="s">
        <v>438</v>
      </c>
      <c r="F68" t="s">
        <v>67</v>
      </c>
    </row>
    <row r="69" spans="1:6" x14ac:dyDescent="0.25">
      <c r="A69" t="s">
        <v>439</v>
      </c>
      <c r="B69" t="s">
        <v>440</v>
      </c>
      <c r="C69" t="s">
        <v>268</v>
      </c>
      <c r="D69">
        <v>50964</v>
      </c>
      <c r="E69" t="s">
        <v>441</v>
      </c>
      <c r="F69" t="s">
        <v>146</v>
      </c>
    </row>
    <row r="70" spans="1:6" x14ac:dyDescent="0.25">
      <c r="A70" t="s">
        <v>442</v>
      </c>
      <c r="B70" t="s">
        <v>443</v>
      </c>
      <c r="C70" t="s">
        <v>73</v>
      </c>
      <c r="D70">
        <v>100000</v>
      </c>
      <c r="E70" t="s">
        <v>444</v>
      </c>
      <c r="F70" t="s">
        <v>67</v>
      </c>
    </row>
    <row r="71" spans="1:6" x14ac:dyDescent="0.25">
      <c r="A71" t="s">
        <v>90</v>
      </c>
      <c r="B71" t="s">
        <v>445</v>
      </c>
      <c r="C71" t="s">
        <v>77</v>
      </c>
      <c r="D71">
        <v>50975</v>
      </c>
      <c r="E71" t="s">
        <v>446</v>
      </c>
      <c r="F71" t="s">
        <v>146</v>
      </c>
    </row>
    <row r="72" spans="1:6" x14ac:dyDescent="0.25">
      <c r="A72" t="s">
        <v>447</v>
      </c>
      <c r="B72" t="s">
        <v>448</v>
      </c>
      <c r="C72" t="s">
        <v>73</v>
      </c>
      <c r="D72">
        <v>50923</v>
      </c>
      <c r="E72" t="s">
        <v>449</v>
      </c>
      <c r="F72" t="s">
        <v>111</v>
      </c>
    </row>
    <row r="73" spans="1:6" x14ac:dyDescent="0.25">
      <c r="A73" t="s">
        <v>450</v>
      </c>
      <c r="B73" t="s">
        <v>451</v>
      </c>
      <c r="C73" t="s">
        <v>268</v>
      </c>
      <c r="D73">
        <v>100991</v>
      </c>
      <c r="E73" t="s">
        <v>452</v>
      </c>
      <c r="F73" t="s">
        <v>111</v>
      </c>
    </row>
    <row r="74" spans="1:6" x14ac:dyDescent="0.25">
      <c r="A74" t="s">
        <v>453</v>
      </c>
      <c r="B74" t="s">
        <v>454</v>
      </c>
      <c r="C74" t="s">
        <v>73</v>
      </c>
      <c r="D74">
        <v>50913</v>
      </c>
      <c r="E74" t="s">
        <v>455</v>
      </c>
      <c r="F74" t="s">
        <v>258</v>
      </c>
    </row>
    <row r="75" spans="1:6" x14ac:dyDescent="0.25">
      <c r="A75" t="s">
        <v>456</v>
      </c>
      <c r="B75" t="s">
        <v>457</v>
      </c>
      <c r="C75" t="s">
        <v>73</v>
      </c>
      <c r="D75">
        <v>60949</v>
      </c>
      <c r="E75" t="s">
        <v>458</v>
      </c>
      <c r="F75" t="s">
        <v>67</v>
      </c>
    </row>
    <row r="76" spans="1:6" x14ac:dyDescent="0.25">
      <c r="A76" t="s">
        <v>90</v>
      </c>
      <c r="B76" t="s">
        <v>459</v>
      </c>
      <c r="C76" t="s">
        <v>73</v>
      </c>
      <c r="D76">
        <v>250997</v>
      </c>
      <c r="E76" t="s">
        <v>460</v>
      </c>
      <c r="F76" t="s">
        <v>272</v>
      </c>
    </row>
    <row r="77" spans="1:6" x14ac:dyDescent="0.25">
      <c r="A77" t="s">
        <v>461</v>
      </c>
      <c r="B77" t="s">
        <v>462</v>
      </c>
      <c r="C77" t="s">
        <v>73</v>
      </c>
      <c r="D77">
        <v>100929</v>
      </c>
      <c r="E77" t="s">
        <v>463</v>
      </c>
      <c r="F77" t="s">
        <v>266</v>
      </c>
    </row>
    <row r="78" spans="1:6" x14ac:dyDescent="0.25">
      <c r="A78" t="s">
        <v>464</v>
      </c>
      <c r="B78" t="s">
        <v>465</v>
      </c>
      <c r="C78" t="s">
        <v>77</v>
      </c>
      <c r="D78">
        <v>100910</v>
      </c>
      <c r="E78" t="s">
        <v>466</v>
      </c>
      <c r="F78" t="s">
        <v>258</v>
      </c>
    </row>
    <row r="79" spans="1:6" x14ac:dyDescent="0.25">
      <c r="A79" t="s">
        <v>467</v>
      </c>
      <c r="B79" t="s">
        <v>468</v>
      </c>
      <c r="C79" t="s">
        <v>73</v>
      </c>
      <c r="D79">
        <v>50000</v>
      </c>
      <c r="E79" t="s">
        <v>469</v>
      </c>
      <c r="F79" t="s">
        <v>258</v>
      </c>
    </row>
    <row r="80" spans="1:6" x14ac:dyDescent="0.25">
      <c r="A80" t="s">
        <v>376</v>
      </c>
      <c r="B80" t="s">
        <v>470</v>
      </c>
      <c r="C80" t="s">
        <v>73</v>
      </c>
      <c r="D80">
        <v>50956</v>
      </c>
      <c r="E80" t="s">
        <v>471</v>
      </c>
      <c r="F80" t="s">
        <v>272</v>
      </c>
    </row>
    <row r="81" spans="1:6" x14ac:dyDescent="0.25">
      <c r="A81" t="s">
        <v>472</v>
      </c>
      <c r="B81" t="s">
        <v>473</v>
      </c>
      <c r="C81" t="s">
        <v>73</v>
      </c>
      <c r="D81">
        <v>250000</v>
      </c>
      <c r="E81" t="s">
        <v>474</v>
      </c>
      <c r="F81" t="s">
        <v>67</v>
      </c>
    </row>
    <row r="82" spans="1:6" x14ac:dyDescent="0.25">
      <c r="A82" t="s">
        <v>90</v>
      </c>
      <c r="B82" t="s">
        <v>475</v>
      </c>
      <c r="C82" t="s">
        <v>73</v>
      </c>
      <c r="D82">
        <v>100993</v>
      </c>
      <c r="E82" t="s">
        <v>476</v>
      </c>
      <c r="F82" t="s">
        <v>111</v>
      </c>
    </row>
    <row r="83" spans="1:6" x14ac:dyDescent="0.25">
      <c r="A83" t="s">
        <v>90</v>
      </c>
      <c r="B83" t="s">
        <v>477</v>
      </c>
      <c r="C83" t="s">
        <v>478</v>
      </c>
      <c r="D83">
        <v>50921</v>
      </c>
      <c r="E83" t="s">
        <v>479</v>
      </c>
      <c r="F83" t="s">
        <v>106</v>
      </c>
    </row>
    <row r="84" spans="1:6" x14ac:dyDescent="0.25">
      <c r="A84" t="s">
        <v>480</v>
      </c>
      <c r="B84" t="s">
        <v>481</v>
      </c>
      <c r="C84" t="s">
        <v>77</v>
      </c>
      <c r="D84">
        <v>100988</v>
      </c>
      <c r="E84" t="s">
        <v>482</v>
      </c>
      <c r="F84" t="s">
        <v>99</v>
      </c>
    </row>
    <row r="85" spans="1:6" x14ac:dyDescent="0.25">
      <c r="A85" t="s">
        <v>90</v>
      </c>
      <c r="B85" t="s">
        <v>483</v>
      </c>
      <c r="C85" t="s">
        <v>77</v>
      </c>
      <c r="D85">
        <v>100993</v>
      </c>
      <c r="E85" t="s">
        <v>484</v>
      </c>
      <c r="F85" t="s">
        <v>266</v>
      </c>
    </row>
    <row r="86" spans="1:6" x14ac:dyDescent="0.25">
      <c r="A86" t="s">
        <v>376</v>
      </c>
      <c r="B86" t="s">
        <v>485</v>
      </c>
      <c r="C86" t="s">
        <v>77</v>
      </c>
      <c r="D86">
        <v>100902</v>
      </c>
      <c r="E86" t="s">
        <v>486</v>
      </c>
      <c r="F86" t="s">
        <v>272</v>
      </c>
    </row>
    <row r="87" spans="1:6" x14ac:dyDescent="0.25">
      <c r="A87" t="s">
        <v>487</v>
      </c>
      <c r="B87" t="s">
        <v>488</v>
      </c>
      <c r="C87" t="s">
        <v>77</v>
      </c>
      <c r="D87">
        <v>250960</v>
      </c>
      <c r="E87" t="s">
        <v>489</v>
      </c>
      <c r="F87" t="s">
        <v>258</v>
      </c>
    </row>
    <row r="88" spans="1:6" x14ac:dyDescent="0.25">
      <c r="A88" t="s">
        <v>490</v>
      </c>
      <c r="B88" t="s">
        <v>491</v>
      </c>
      <c r="C88" t="s">
        <v>77</v>
      </c>
      <c r="D88">
        <v>100985</v>
      </c>
      <c r="E88" t="s">
        <v>492</v>
      </c>
      <c r="F88" t="s">
        <v>493</v>
      </c>
    </row>
    <row r="89" spans="1:6" x14ac:dyDescent="0.25">
      <c r="A89" t="s">
        <v>494</v>
      </c>
      <c r="B89" t="s">
        <v>495</v>
      </c>
      <c r="C89" t="s">
        <v>478</v>
      </c>
      <c r="D89">
        <v>50931</v>
      </c>
      <c r="E89" t="s">
        <v>496</v>
      </c>
      <c r="F89" t="s">
        <v>235</v>
      </c>
    </row>
    <row r="90" spans="1:6" x14ac:dyDescent="0.25">
      <c r="A90" t="s">
        <v>497</v>
      </c>
      <c r="B90" t="s">
        <v>498</v>
      </c>
      <c r="C90" t="s">
        <v>73</v>
      </c>
      <c r="D90">
        <v>50933</v>
      </c>
      <c r="E90" t="s">
        <v>499</v>
      </c>
      <c r="F90" t="s">
        <v>111</v>
      </c>
    </row>
    <row r="91" spans="1:6" x14ac:dyDescent="0.25">
      <c r="A91" t="s">
        <v>500</v>
      </c>
      <c r="B91" t="s">
        <v>501</v>
      </c>
      <c r="C91" t="s">
        <v>502</v>
      </c>
      <c r="D91">
        <v>100934</v>
      </c>
      <c r="E91" t="s">
        <v>503</v>
      </c>
      <c r="F91" t="s">
        <v>504</v>
      </c>
    </row>
    <row r="92" spans="1:6" x14ac:dyDescent="0.25">
      <c r="A92" t="s">
        <v>505</v>
      </c>
      <c r="B92" t="s">
        <v>506</v>
      </c>
      <c r="C92" t="s">
        <v>73</v>
      </c>
      <c r="D92">
        <v>100939</v>
      </c>
      <c r="E92" t="s">
        <v>507</v>
      </c>
      <c r="F92" t="s">
        <v>235</v>
      </c>
    </row>
    <row r="93" spans="1:6" x14ac:dyDescent="0.25">
      <c r="A93" t="s">
        <v>508</v>
      </c>
      <c r="B93" t="s">
        <v>509</v>
      </c>
      <c r="C93" t="s">
        <v>77</v>
      </c>
      <c r="D93">
        <v>50942</v>
      </c>
      <c r="E93" t="s">
        <v>510</v>
      </c>
      <c r="F93" t="s">
        <v>235</v>
      </c>
    </row>
    <row r="94" spans="1:6" x14ac:dyDescent="0.25">
      <c r="A94" t="s">
        <v>511</v>
      </c>
      <c r="B94" t="s">
        <v>512</v>
      </c>
      <c r="C94" t="s">
        <v>73</v>
      </c>
      <c r="D94">
        <v>50968</v>
      </c>
      <c r="E94" t="s">
        <v>513</v>
      </c>
      <c r="F94" t="s">
        <v>272</v>
      </c>
    </row>
    <row r="95" spans="1:6" x14ac:dyDescent="0.25">
      <c r="A95" t="s">
        <v>514</v>
      </c>
      <c r="B95" t="s">
        <v>515</v>
      </c>
      <c r="C95" t="s">
        <v>268</v>
      </c>
      <c r="D95">
        <v>50979</v>
      </c>
      <c r="E95" t="s">
        <v>516</v>
      </c>
      <c r="F95" t="s">
        <v>272</v>
      </c>
    </row>
    <row r="96" spans="1:6" x14ac:dyDescent="0.25">
      <c r="A96" t="s">
        <v>376</v>
      </c>
      <c r="B96" t="s">
        <v>517</v>
      </c>
      <c r="C96" t="s">
        <v>431</v>
      </c>
      <c r="D96">
        <v>50935</v>
      </c>
      <c r="E96" t="s">
        <v>518</v>
      </c>
      <c r="F96" t="s">
        <v>235</v>
      </c>
    </row>
    <row r="97" spans="1:6" x14ac:dyDescent="0.25">
      <c r="A97" t="s">
        <v>519</v>
      </c>
      <c r="B97" t="s">
        <v>520</v>
      </c>
      <c r="C97" t="s">
        <v>73</v>
      </c>
      <c r="D97">
        <v>100987</v>
      </c>
      <c r="E97" t="s">
        <v>521</v>
      </c>
      <c r="F97" t="s">
        <v>272</v>
      </c>
    </row>
    <row r="98" spans="1:6" x14ac:dyDescent="0.25">
      <c r="A98" t="s">
        <v>522</v>
      </c>
      <c r="B98" t="s">
        <v>523</v>
      </c>
      <c r="C98" t="s">
        <v>73</v>
      </c>
      <c r="D98">
        <v>100958</v>
      </c>
      <c r="E98" t="s">
        <v>524</v>
      </c>
      <c r="F98" t="s">
        <v>111</v>
      </c>
    </row>
    <row r="99" spans="1:6" x14ac:dyDescent="0.25">
      <c r="A99" t="s">
        <v>90</v>
      </c>
      <c r="B99" t="s">
        <v>525</v>
      </c>
      <c r="C99" t="s">
        <v>77</v>
      </c>
      <c r="D99">
        <v>100985</v>
      </c>
      <c r="E99" t="s">
        <v>526</v>
      </c>
      <c r="F99" t="s">
        <v>258</v>
      </c>
    </row>
    <row r="100" spans="1:6" x14ac:dyDescent="0.25">
      <c r="A100" t="s">
        <v>527</v>
      </c>
      <c r="B100" t="s">
        <v>528</v>
      </c>
      <c r="C100" t="s">
        <v>268</v>
      </c>
      <c r="D100">
        <v>100964</v>
      </c>
      <c r="E100" t="s">
        <v>529</v>
      </c>
      <c r="F100" t="s">
        <v>272</v>
      </c>
    </row>
    <row r="101" spans="1:6" x14ac:dyDescent="0.25">
      <c r="A101" t="s">
        <v>530</v>
      </c>
      <c r="B101" t="s">
        <v>531</v>
      </c>
      <c r="C101" t="s">
        <v>73</v>
      </c>
      <c r="D101">
        <v>100916</v>
      </c>
      <c r="E101" t="s">
        <v>532</v>
      </c>
      <c r="F101" t="s">
        <v>111</v>
      </c>
    </row>
    <row r="102" spans="1:6" x14ac:dyDescent="0.25">
      <c r="A102" t="s">
        <v>533</v>
      </c>
      <c r="B102" t="s">
        <v>534</v>
      </c>
      <c r="C102" t="s">
        <v>77</v>
      </c>
      <c r="D102">
        <v>50947</v>
      </c>
      <c r="E102" t="s">
        <v>535</v>
      </c>
      <c r="F102" t="s">
        <v>266</v>
      </c>
    </row>
    <row r="103" spans="1:6" x14ac:dyDescent="0.25">
      <c r="A103" t="s">
        <v>376</v>
      </c>
      <c r="B103" t="s">
        <v>536</v>
      </c>
      <c r="C103" t="s">
        <v>73</v>
      </c>
      <c r="D103">
        <v>50904</v>
      </c>
      <c r="E103" t="s">
        <v>537</v>
      </c>
      <c r="F103" t="s">
        <v>111</v>
      </c>
    </row>
    <row r="104" spans="1:6" x14ac:dyDescent="0.25">
      <c r="A104" t="s">
        <v>90</v>
      </c>
      <c r="B104" t="s">
        <v>538</v>
      </c>
      <c r="C104" t="s">
        <v>77</v>
      </c>
      <c r="D104">
        <v>50913</v>
      </c>
      <c r="E104" t="s">
        <v>539</v>
      </c>
      <c r="F104" t="s">
        <v>258</v>
      </c>
    </row>
    <row r="105" spans="1:6" x14ac:dyDescent="0.25">
      <c r="A105" t="s">
        <v>540</v>
      </c>
      <c r="B105" t="s">
        <v>541</v>
      </c>
      <c r="C105" t="s">
        <v>73</v>
      </c>
      <c r="D105">
        <v>50989</v>
      </c>
      <c r="E105" t="s">
        <v>542</v>
      </c>
      <c r="F105" t="s">
        <v>235</v>
      </c>
    </row>
    <row r="106" spans="1:6" x14ac:dyDescent="0.25">
      <c r="A106" t="s">
        <v>543</v>
      </c>
      <c r="B106" t="s">
        <v>544</v>
      </c>
      <c r="C106" t="s">
        <v>73</v>
      </c>
      <c r="D106">
        <v>100986</v>
      </c>
      <c r="E106" t="s">
        <v>545</v>
      </c>
      <c r="F106" t="s">
        <v>504</v>
      </c>
    </row>
    <row r="107" spans="1:6" x14ac:dyDescent="0.25">
      <c r="A107" t="s">
        <v>546</v>
      </c>
      <c r="B107" t="s">
        <v>547</v>
      </c>
      <c r="C107" t="s">
        <v>77</v>
      </c>
      <c r="D107">
        <v>50935</v>
      </c>
      <c r="E107" t="s">
        <v>548</v>
      </c>
      <c r="F107" t="s">
        <v>146</v>
      </c>
    </row>
    <row r="108" spans="1:6" x14ac:dyDescent="0.25">
      <c r="A108" t="s">
        <v>549</v>
      </c>
      <c r="B108" t="s">
        <v>550</v>
      </c>
      <c r="C108" t="s">
        <v>73</v>
      </c>
      <c r="D108">
        <v>100996</v>
      </c>
      <c r="E108" t="s">
        <v>551</v>
      </c>
      <c r="F108" t="s">
        <v>111</v>
      </c>
    </row>
    <row r="109" spans="1:6" x14ac:dyDescent="0.25">
      <c r="A109" t="s">
        <v>552</v>
      </c>
      <c r="B109" t="s">
        <v>553</v>
      </c>
      <c r="C109" t="s">
        <v>77</v>
      </c>
      <c r="D109">
        <v>100901</v>
      </c>
      <c r="E109" t="s">
        <v>554</v>
      </c>
      <c r="F109" t="s">
        <v>266</v>
      </c>
    </row>
    <row r="110" spans="1:6" x14ac:dyDescent="0.25">
      <c r="A110" t="s">
        <v>555</v>
      </c>
      <c r="B110" t="s">
        <v>556</v>
      </c>
      <c r="C110" t="s">
        <v>73</v>
      </c>
      <c r="D110">
        <v>50957</v>
      </c>
      <c r="E110" t="s">
        <v>557</v>
      </c>
      <c r="F110" t="s">
        <v>146</v>
      </c>
    </row>
    <row r="111" spans="1:6" x14ac:dyDescent="0.25">
      <c r="A111" t="s">
        <v>558</v>
      </c>
      <c r="B111" t="s">
        <v>559</v>
      </c>
      <c r="C111" t="s">
        <v>77</v>
      </c>
      <c r="D111">
        <v>50980</v>
      </c>
      <c r="E111" t="s">
        <v>560</v>
      </c>
      <c r="F111" t="s">
        <v>235</v>
      </c>
    </row>
    <row r="112" spans="1:6" x14ac:dyDescent="0.25">
      <c r="A112" t="s">
        <v>561</v>
      </c>
      <c r="B112" t="s">
        <v>562</v>
      </c>
      <c r="C112" t="s">
        <v>77</v>
      </c>
      <c r="D112">
        <v>100985</v>
      </c>
      <c r="E112" t="s">
        <v>563</v>
      </c>
      <c r="F112" t="s">
        <v>67</v>
      </c>
    </row>
    <row r="113" spans="1:6" x14ac:dyDescent="0.25">
      <c r="A113" t="s">
        <v>564</v>
      </c>
      <c r="B113" t="s">
        <v>565</v>
      </c>
      <c r="C113" t="s">
        <v>73</v>
      </c>
      <c r="D113">
        <v>50947</v>
      </c>
      <c r="E113" t="s">
        <v>566</v>
      </c>
      <c r="F113" t="s">
        <v>379</v>
      </c>
    </row>
    <row r="114" spans="1:6" x14ac:dyDescent="0.25">
      <c r="A114" t="s">
        <v>567</v>
      </c>
      <c r="B114" t="s">
        <v>568</v>
      </c>
      <c r="C114" t="s">
        <v>268</v>
      </c>
      <c r="D114">
        <v>100931</v>
      </c>
      <c r="E114" t="s">
        <v>569</v>
      </c>
      <c r="F114" t="s">
        <v>146</v>
      </c>
    </row>
    <row r="115" spans="1:6" x14ac:dyDescent="0.25">
      <c r="A115" t="s">
        <v>570</v>
      </c>
      <c r="B115" t="s">
        <v>571</v>
      </c>
      <c r="C115" t="s">
        <v>73</v>
      </c>
      <c r="D115">
        <v>100909</v>
      </c>
      <c r="E115" t="s">
        <v>572</v>
      </c>
      <c r="F115" t="s">
        <v>258</v>
      </c>
    </row>
    <row r="116" spans="1:6" x14ac:dyDescent="0.25">
      <c r="A116" t="s">
        <v>573</v>
      </c>
      <c r="B116" t="s">
        <v>574</v>
      </c>
      <c r="C116" t="s">
        <v>77</v>
      </c>
      <c r="D116">
        <v>110000</v>
      </c>
      <c r="E116" t="s">
        <v>575</v>
      </c>
      <c r="F116" t="s">
        <v>67</v>
      </c>
    </row>
    <row r="117" spans="1:6" x14ac:dyDescent="0.25">
      <c r="A117" t="s">
        <v>576</v>
      </c>
      <c r="B117" t="s">
        <v>577</v>
      </c>
      <c r="C117" t="s">
        <v>65</v>
      </c>
      <c r="D117">
        <v>25901</v>
      </c>
      <c r="E117" t="s">
        <v>578</v>
      </c>
      <c r="F117" t="s">
        <v>272</v>
      </c>
    </row>
    <row r="118" spans="1:6" x14ac:dyDescent="0.25">
      <c r="A118" t="s">
        <v>579</v>
      </c>
      <c r="B118" t="s">
        <v>108</v>
      </c>
      <c r="C118" t="s">
        <v>580</v>
      </c>
      <c r="D118">
        <v>250913</v>
      </c>
      <c r="E118" t="s">
        <v>581</v>
      </c>
      <c r="F118" t="s">
        <v>111</v>
      </c>
    </row>
    <row r="119" spans="1:6" x14ac:dyDescent="0.25">
      <c r="A119" t="s">
        <v>90</v>
      </c>
      <c r="B119" t="s">
        <v>582</v>
      </c>
      <c r="C119" t="s">
        <v>77</v>
      </c>
      <c r="D119">
        <v>100913</v>
      </c>
      <c r="E119" t="s">
        <v>583</v>
      </c>
      <c r="F119" t="s">
        <v>67</v>
      </c>
    </row>
    <row r="120" spans="1:6" x14ac:dyDescent="0.25">
      <c r="A120" t="s">
        <v>584</v>
      </c>
      <c r="B120" t="s">
        <v>585</v>
      </c>
      <c r="C120" t="s">
        <v>299</v>
      </c>
      <c r="D120">
        <v>100995</v>
      </c>
      <c r="E120" t="s">
        <v>586</v>
      </c>
      <c r="F120" t="s">
        <v>106</v>
      </c>
    </row>
    <row r="121" spans="1:6" x14ac:dyDescent="0.25">
      <c r="A121" t="s">
        <v>587</v>
      </c>
      <c r="B121" t="s">
        <v>588</v>
      </c>
      <c r="C121" t="s">
        <v>73</v>
      </c>
      <c r="D121">
        <v>100988</v>
      </c>
      <c r="E121" t="s">
        <v>589</v>
      </c>
      <c r="F121" t="s">
        <v>67</v>
      </c>
    </row>
    <row r="122" spans="1:6" x14ac:dyDescent="0.25">
      <c r="A122" t="s">
        <v>112</v>
      </c>
      <c r="B122" t="s">
        <v>113</v>
      </c>
      <c r="C122" t="s">
        <v>109</v>
      </c>
      <c r="D122">
        <v>275443</v>
      </c>
      <c r="E122" t="s">
        <v>590</v>
      </c>
      <c r="F122" t="s">
        <v>111</v>
      </c>
    </row>
    <row r="123" spans="1:6" x14ac:dyDescent="0.25">
      <c r="A123" t="s">
        <v>591</v>
      </c>
      <c r="B123" t="s">
        <v>592</v>
      </c>
      <c r="C123" t="s">
        <v>73</v>
      </c>
      <c r="D123">
        <v>100931</v>
      </c>
      <c r="E123" t="s">
        <v>593</v>
      </c>
      <c r="F123" t="s">
        <v>67</v>
      </c>
    </row>
    <row r="124" spans="1:6" x14ac:dyDescent="0.25">
      <c r="A124" t="s">
        <v>594</v>
      </c>
      <c r="B124" t="s">
        <v>595</v>
      </c>
      <c r="C124" t="s">
        <v>77</v>
      </c>
      <c r="D124">
        <v>100000</v>
      </c>
      <c r="E124" t="s">
        <v>596</v>
      </c>
      <c r="F124" t="s">
        <v>258</v>
      </c>
    </row>
    <row r="125" spans="1:6" x14ac:dyDescent="0.25">
      <c r="A125" t="s">
        <v>597</v>
      </c>
      <c r="B125" t="s">
        <v>598</v>
      </c>
      <c r="C125" t="s">
        <v>73</v>
      </c>
      <c r="D125">
        <v>100920</v>
      </c>
      <c r="E125" t="s">
        <v>599</v>
      </c>
      <c r="F125" t="s">
        <v>258</v>
      </c>
    </row>
    <row r="126" spans="1:6" x14ac:dyDescent="0.25">
      <c r="A126" t="s">
        <v>600</v>
      </c>
      <c r="B126" t="s">
        <v>601</v>
      </c>
      <c r="C126" t="s">
        <v>77</v>
      </c>
      <c r="D126">
        <v>50914</v>
      </c>
      <c r="E126" t="s">
        <v>602</v>
      </c>
      <c r="F126" t="s">
        <v>258</v>
      </c>
    </row>
    <row r="127" spans="1:6" x14ac:dyDescent="0.25">
      <c r="A127" t="s">
        <v>603</v>
      </c>
      <c r="B127" t="s">
        <v>604</v>
      </c>
      <c r="C127" t="s">
        <v>268</v>
      </c>
      <c r="D127">
        <v>250902</v>
      </c>
      <c r="E127" t="s">
        <v>605</v>
      </c>
      <c r="F127" t="s">
        <v>272</v>
      </c>
    </row>
    <row r="128" spans="1:6" x14ac:dyDescent="0.25">
      <c r="A128" t="s">
        <v>606</v>
      </c>
      <c r="B128" t="s">
        <v>607</v>
      </c>
      <c r="C128" t="s">
        <v>73</v>
      </c>
      <c r="D128">
        <v>100935</v>
      </c>
      <c r="E128" t="s">
        <v>608</v>
      </c>
      <c r="F128" t="s">
        <v>258</v>
      </c>
    </row>
    <row r="129" spans="1:6" x14ac:dyDescent="0.25">
      <c r="A129" t="s">
        <v>609</v>
      </c>
      <c r="B129" t="s">
        <v>610</v>
      </c>
      <c r="C129" t="s">
        <v>268</v>
      </c>
      <c r="D129">
        <v>100991</v>
      </c>
      <c r="E129" t="s">
        <v>611</v>
      </c>
      <c r="F129" t="s">
        <v>67</v>
      </c>
    </row>
    <row r="130" spans="1:6" x14ac:dyDescent="0.25">
      <c r="A130" t="s">
        <v>612</v>
      </c>
      <c r="B130" t="s">
        <v>613</v>
      </c>
      <c r="C130" t="s">
        <v>73</v>
      </c>
      <c r="D130">
        <v>100995</v>
      </c>
      <c r="E130" t="s">
        <v>614</v>
      </c>
      <c r="F130" t="s">
        <v>266</v>
      </c>
    </row>
    <row r="131" spans="1:6" x14ac:dyDescent="0.25">
      <c r="A131" t="s">
        <v>615</v>
      </c>
      <c r="B131" t="s">
        <v>616</v>
      </c>
      <c r="C131" t="s">
        <v>73</v>
      </c>
      <c r="D131">
        <v>50958</v>
      </c>
      <c r="E131" t="s">
        <v>617</v>
      </c>
      <c r="F131" t="s">
        <v>79</v>
      </c>
    </row>
    <row r="132" spans="1:6" x14ac:dyDescent="0.25">
      <c r="A132" t="s">
        <v>618</v>
      </c>
      <c r="B132" t="s">
        <v>619</v>
      </c>
      <c r="C132" t="s">
        <v>268</v>
      </c>
      <c r="D132">
        <v>50901</v>
      </c>
      <c r="E132" t="s">
        <v>620</v>
      </c>
      <c r="F132" t="s">
        <v>258</v>
      </c>
    </row>
    <row r="133" spans="1:6" x14ac:dyDescent="0.25">
      <c r="A133" t="s">
        <v>621</v>
      </c>
      <c r="B133" t="s">
        <v>622</v>
      </c>
      <c r="C133" t="s">
        <v>77</v>
      </c>
      <c r="D133">
        <v>100948</v>
      </c>
      <c r="E133" t="s">
        <v>623</v>
      </c>
      <c r="F133" t="s">
        <v>235</v>
      </c>
    </row>
    <row r="134" spans="1:6" x14ac:dyDescent="0.25">
      <c r="A134" t="s">
        <v>624</v>
      </c>
      <c r="B134" t="s">
        <v>625</v>
      </c>
      <c r="C134" t="s">
        <v>73</v>
      </c>
      <c r="D134">
        <v>100975</v>
      </c>
      <c r="E134" t="s">
        <v>626</v>
      </c>
      <c r="F134" t="s">
        <v>272</v>
      </c>
    </row>
    <row r="135" spans="1:6" x14ac:dyDescent="0.25">
      <c r="A135" t="s">
        <v>627</v>
      </c>
      <c r="B135" t="s">
        <v>628</v>
      </c>
      <c r="C135" t="s">
        <v>77</v>
      </c>
      <c r="D135">
        <v>100965</v>
      </c>
      <c r="E135" t="s">
        <v>629</v>
      </c>
      <c r="F135" t="s">
        <v>235</v>
      </c>
    </row>
    <row r="136" spans="1:6" x14ac:dyDescent="0.25">
      <c r="A136" t="s">
        <v>630</v>
      </c>
      <c r="B136" t="s">
        <v>631</v>
      </c>
      <c r="C136" t="s">
        <v>77</v>
      </c>
      <c r="D136">
        <v>250950</v>
      </c>
      <c r="E136" t="s">
        <v>632</v>
      </c>
      <c r="F136" t="s">
        <v>272</v>
      </c>
    </row>
    <row r="137" spans="1:6" x14ac:dyDescent="0.25">
      <c r="A137" t="s">
        <v>633</v>
      </c>
      <c r="B137" t="s">
        <v>634</v>
      </c>
      <c r="C137" t="s">
        <v>73</v>
      </c>
      <c r="D137">
        <v>100924</v>
      </c>
      <c r="E137" t="s">
        <v>635</v>
      </c>
      <c r="F137" t="s">
        <v>146</v>
      </c>
    </row>
    <row r="138" spans="1:6" x14ac:dyDescent="0.25">
      <c r="A138" t="s">
        <v>636</v>
      </c>
      <c r="B138" t="s">
        <v>637</v>
      </c>
      <c r="C138" t="s">
        <v>73</v>
      </c>
      <c r="D138">
        <v>100985</v>
      </c>
      <c r="E138" t="s">
        <v>638</v>
      </c>
      <c r="F138" t="s">
        <v>272</v>
      </c>
    </row>
    <row r="139" spans="1:6" x14ac:dyDescent="0.25">
      <c r="A139" t="s">
        <v>639</v>
      </c>
      <c r="B139" t="s">
        <v>640</v>
      </c>
      <c r="C139" t="s">
        <v>73</v>
      </c>
      <c r="D139">
        <v>50947</v>
      </c>
      <c r="E139" t="s">
        <v>641</v>
      </c>
      <c r="F139" t="s">
        <v>379</v>
      </c>
    </row>
    <row r="140" spans="1:6" x14ac:dyDescent="0.25">
      <c r="A140" t="s">
        <v>642</v>
      </c>
      <c r="B140" t="s">
        <v>643</v>
      </c>
      <c r="C140" t="s">
        <v>73</v>
      </c>
      <c r="D140">
        <v>50901</v>
      </c>
      <c r="E140" t="s">
        <v>644</v>
      </c>
      <c r="F140" t="s">
        <v>258</v>
      </c>
    </row>
    <row r="141" spans="1:6" x14ac:dyDescent="0.25">
      <c r="A141" t="s">
        <v>645</v>
      </c>
      <c r="B141" t="s">
        <v>646</v>
      </c>
      <c r="C141" t="s">
        <v>73</v>
      </c>
      <c r="D141">
        <v>100000</v>
      </c>
      <c r="E141" t="s">
        <v>647</v>
      </c>
      <c r="F141" t="s">
        <v>146</v>
      </c>
    </row>
    <row r="142" spans="1:6" x14ac:dyDescent="0.25">
      <c r="A142" t="s">
        <v>90</v>
      </c>
      <c r="B142" t="s">
        <v>648</v>
      </c>
      <c r="C142" t="s">
        <v>268</v>
      </c>
      <c r="D142">
        <v>100963</v>
      </c>
      <c r="E142" t="s">
        <v>649</v>
      </c>
      <c r="F142" t="s">
        <v>111</v>
      </c>
    </row>
    <row r="143" spans="1:6" x14ac:dyDescent="0.25">
      <c r="A143" t="s">
        <v>650</v>
      </c>
      <c r="B143" t="s">
        <v>651</v>
      </c>
      <c r="C143" t="s">
        <v>268</v>
      </c>
      <c r="D143">
        <v>100996</v>
      </c>
      <c r="E143" t="s">
        <v>652</v>
      </c>
      <c r="F143" t="s">
        <v>99</v>
      </c>
    </row>
    <row r="144" spans="1:6" x14ac:dyDescent="0.25">
      <c r="A144" t="s">
        <v>653</v>
      </c>
      <c r="B144" t="s">
        <v>654</v>
      </c>
      <c r="C144" t="s">
        <v>73</v>
      </c>
      <c r="D144">
        <v>50969</v>
      </c>
      <c r="E144" t="s">
        <v>655</v>
      </c>
      <c r="F144" t="s">
        <v>258</v>
      </c>
    </row>
    <row r="145" spans="1:6" x14ac:dyDescent="0.25">
      <c r="A145" t="s">
        <v>656</v>
      </c>
      <c r="B145" t="s">
        <v>657</v>
      </c>
      <c r="C145" t="s">
        <v>268</v>
      </c>
      <c r="D145">
        <v>100911</v>
      </c>
      <c r="E145" t="s">
        <v>658</v>
      </c>
      <c r="F145" t="s">
        <v>258</v>
      </c>
    </row>
    <row r="146" spans="1:6" x14ac:dyDescent="0.25">
      <c r="A146" t="s">
        <v>659</v>
      </c>
      <c r="B146" t="s">
        <v>660</v>
      </c>
      <c r="C146" t="s">
        <v>73</v>
      </c>
      <c r="D146">
        <v>100908</v>
      </c>
      <c r="E146" t="s">
        <v>661</v>
      </c>
      <c r="F146" t="s">
        <v>146</v>
      </c>
    </row>
    <row r="147" spans="1:6" x14ac:dyDescent="0.25">
      <c r="A147" t="s">
        <v>662</v>
      </c>
      <c r="B147" t="s">
        <v>663</v>
      </c>
      <c r="C147" t="s">
        <v>77</v>
      </c>
      <c r="D147">
        <v>50968</v>
      </c>
      <c r="E147" t="s">
        <v>664</v>
      </c>
      <c r="F147" t="s">
        <v>379</v>
      </c>
    </row>
    <row r="148" spans="1:6" x14ac:dyDescent="0.25">
      <c r="A148" t="s">
        <v>665</v>
      </c>
      <c r="B148" t="s">
        <v>666</v>
      </c>
      <c r="C148" t="s">
        <v>73</v>
      </c>
      <c r="D148">
        <v>100908</v>
      </c>
      <c r="E148" t="s">
        <v>667</v>
      </c>
      <c r="F148" t="s">
        <v>272</v>
      </c>
    </row>
    <row r="149" spans="1:6" x14ac:dyDescent="0.25">
      <c r="A149" t="s">
        <v>668</v>
      </c>
      <c r="B149" t="s">
        <v>669</v>
      </c>
      <c r="C149" t="s">
        <v>73</v>
      </c>
      <c r="D149">
        <v>100944</v>
      </c>
      <c r="E149" t="s">
        <v>670</v>
      </c>
      <c r="F149" t="s">
        <v>67</v>
      </c>
    </row>
    <row r="150" spans="1:6" x14ac:dyDescent="0.25">
      <c r="A150" t="s">
        <v>671</v>
      </c>
      <c r="B150" t="s">
        <v>672</v>
      </c>
      <c r="C150" t="s">
        <v>299</v>
      </c>
      <c r="D150">
        <v>50982</v>
      </c>
      <c r="E150" t="s">
        <v>673</v>
      </c>
      <c r="F150" t="s">
        <v>266</v>
      </c>
    </row>
    <row r="151" spans="1:6" x14ac:dyDescent="0.25">
      <c r="A151" t="s">
        <v>674</v>
      </c>
      <c r="B151" t="s">
        <v>675</v>
      </c>
      <c r="C151" t="s">
        <v>77</v>
      </c>
      <c r="D151">
        <v>50992</v>
      </c>
      <c r="E151" t="s">
        <v>676</v>
      </c>
      <c r="F151" t="s">
        <v>146</v>
      </c>
    </row>
    <row r="152" spans="1:6" x14ac:dyDescent="0.25">
      <c r="A152" t="s">
        <v>677</v>
      </c>
      <c r="B152" t="s">
        <v>678</v>
      </c>
      <c r="C152" t="s">
        <v>77</v>
      </c>
      <c r="D152">
        <v>200921</v>
      </c>
      <c r="E152" t="s">
        <v>679</v>
      </c>
      <c r="F152" t="s">
        <v>272</v>
      </c>
    </row>
    <row r="153" spans="1:6" x14ac:dyDescent="0.25">
      <c r="A153" t="s">
        <v>680</v>
      </c>
      <c r="B153" t="s">
        <v>681</v>
      </c>
      <c r="C153" t="s">
        <v>268</v>
      </c>
      <c r="D153">
        <v>50000</v>
      </c>
      <c r="E153" t="s">
        <v>682</v>
      </c>
      <c r="F153" t="s">
        <v>386</v>
      </c>
    </row>
    <row r="154" spans="1:6" x14ac:dyDescent="0.25">
      <c r="A154" t="s">
        <v>683</v>
      </c>
      <c r="B154" t="s">
        <v>684</v>
      </c>
      <c r="C154" t="s">
        <v>65</v>
      </c>
      <c r="D154">
        <v>25900</v>
      </c>
      <c r="E154" t="s">
        <v>685</v>
      </c>
      <c r="F154" t="s">
        <v>106</v>
      </c>
    </row>
    <row r="155" spans="1:6" x14ac:dyDescent="0.25">
      <c r="A155" t="s">
        <v>222</v>
      </c>
      <c r="B155" t="s">
        <v>686</v>
      </c>
      <c r="C155" t="s">
        <v>73</v>
      </c>
      <c r="D155">
        <v>100989</v>
      </c>
      <c r="E155" t="s">
        <v>687</v>
      </c>
      <c r="F155" t="s">
        <v>67</v>
      </c>
    </row>
    <row r="156" spans="1:6" x14ac:dyDescent="0.25">
      <c r="A156" t="s">
        <v>688</v>
      </c>
      <c r="B156" t="s">
        <v>689</v>
      </c>
      <c r="C156" t="s">
        <v>268</v>
      </c>
      <c r="D156">
        <v>100988</v>
      </c>
      <c r="E156" t="s">
        <v>690</v>
      </c>
      <c r="F156" t="s">
        <v>67</v>
      </c>
    </row>
    <row r="157" spans="1:6" x14ac:dyDescent="0.25">
      <c r="A157" t="s">
        <v>691</v>
      </c>
      <c r="B157" t="s">
        <v>692</v>
      </c>
      <c r="C157" t="s">
        <v>73</v>
      </c>
      <c r="D157">
        <v>50952</v>
      </c>
      <c r="E157" t="s">
        <v>693</v>
      </c>
      <c r="F157" t="s">
        <v>99</v>
      </c>
    </row>
    <row r="158" spans="1:6" x14ac:dyDescent="0.25">
      <c r="A158" t="s">
        <v>90</v>
      </c>
      <c r="B158" t="s">
        <v>694</v>
      </c>
      <c r="C158" t="s">
        <v>77</v>
      </c>
      <c r="D158">
        <v>50967</v>
      </c>
      <c r="E158" t="s">
        <v>695</v>
      </c>
      <c r="F158" t="s">
        <v>111</v>
      </c>
    </row>
    <row r="159" spans="1:6" x14ac:dyDescent="0.25">
      <c r="A159" t="s">
        <v>696</v>
      </c>
      <c r="B159" t="s">
        <v>697</v>
      </c>
      <c r="C159" t="s">
        <v>77</v>
      </c>
      <c r="D159">
        <v>100966</v>
      </c>
      <c r="E159" t="s">
        <v>698</v>
      </c>
      <c r="F159" t="s">
        <v>235</v>
      </c>
    </row>
    <row r="160" spans="1:6" x14ac:dyDescent="0.25">
      <c r="A160" t="s">
        <v>699</v>
      </c>
      <c r="B160" t="s">
        <v>700</v>
      </c>
      <c r="C160" t="s">
        <v>73</v>
      </c>
      <c r="D160">
        <v>100947</v>
      </c>
      <c r="E160" t="s">
        <v>701</v>
      </c>
      <c r="F160" t="s">
        <v>266</v>
      </c>
    </row>
    <row r="161" spans="1:6" x14ac:dyDescent="0.25">
      <c r="A161" t="s">
        <v>702</v>
      </c>
      <c r="B161" t="s">
        <v>703</v>
      </c>
      <c r="C161" t="s">
        <v>77</v>
      </c>
      <c r="D161">
        <v>100982</v>
      </c>
      <c r="E161" t="s">
        <v>704</v>
      </c>
      <c r="F161" t="s">
        <v>235</v>
      </c>
    </row>
    <row r="162" spans="1:6" x14ac:dyDescent="0.25">
      <c r="A162" t="s">
        <v>705</v>
      </c>
      <c r="B162" t="s">
        <v>706</v>
      </c>
      <c r="C162" t="s">
        <v>77</v>
      </c>
      <c r="D162">
        <v>100996</v>
      </c>
      <c r="E162" t="s">
        <v>707</v>
      </c>
      <c r="F162" t="s">
        <v>266</v>
      </c>
    </row>
    <row r="163" spans="1:6" x14ac:dyDescent="0.25">
      <c r="A163" t="s">
        <v>708</v>
      </c>
      <c r="B163" t="s">
        <v>709</v>
      </c>
      <c r="C163" t="s">
        <v>73</v>
      </c>
      <c r="D163">
        <v>50900</v>
      </c>
      <c r="E163" t="s">
        <v>710</v>
      </c>
      <c r="F163" t="s">
        <v>266</v>
      </c>
    </row>
    <row r="164" spans="1:6" x14ac:dyDescent="0.25">
      <c r="A164" t="s">
        <v>711</v>
      </c>
      <c r="B164" t="s">
        <v>712</v>
      </c>
      <c r="C164" t="s">
        <v>268</v>
      </c>
      <c r="D164">
        <v>50973</v>
      </c>
      <c r="E164" t="s">
        <v>713</v>
      </c>
      <c r="F164" t="s">
        <v>272</v>
      </c>
    </row>
    <row r="165" spans="1:6" x14ac:dyDescent="0.25">
      <c r="A165" t="s">
        <v>90</v>
      </c>
      <c r="B165" t="s">
        <v>714</v>
      </c>
      <c r="C165" t="s">
        <v>268</v>
      </c>
      <c r="D165">
        <v>50938</v>
      </c>
      <c r="E165" t="s">
        <v>715</v>
      </c>
      <c r="F165" t="s">
        <v>272</v>
      </c>
    </row>
    <row r="166" spans="1:6" x14ac:dyDescent="0.25">
      <c r="A166" t="s">
        <v>90</v>
      </c>
      <c r="B166" t="s">
        <v>716</v>
      </c>
      <c r="C166" t="s">
        <v>73</v>
      </c>
      <c r="D166">
        <v>100933</v>
      </c>
      <c r="E166" t="s">
        <v>717</v>
      </c>
      <c r="F166" t="s">
        <v>272</v>
      </c>
    </row>
    <row r="167" spans="1:6" x14ac:dyDescent="0.25">
      <c r="A167" t="s">
        <v>718</v>
      </c>
      <c r="B167" t="s">
        <v>719</v>
      </c>
      <c r="C167" t="s">
        <v>73</v>
      </c>
      <c r="D167">
        <v>100933</v>
      </c>
      <c r="E167" t="s">
        <v>720</v>
      </c>
      <c r="F167" t="s">
        <v>99</v>
      </c>
    </row>
    <row r="168" spans="1:6" x14ac:dyDescent="0.25">
      <c r="A168" t="s">
        <v>721</v>
      </c>
      <c r="B168" t="s">
        <v>722</v>
      </c>
      <c r="C168" t="s">
        <v>73</v>
      </c>
      <c r="D168">
        <v>100931</v>
      </c>
      <c r="E168" t="s">
        <v>723</v>
      </c>
      <c r="F168" t="s">
        <v>99</v>
      </c>
    </row>
    <row r="169" spans="1:6" x14ac:dyDescent="0.25">
      <c r="A169" t="s">
        <v>724</v>
      </c>
      <c r="B169" t="s">
        <v>725</v>
      </c>
      <c r="C169" t="s">
        <v>268</v>
      </c>
      <c r="D169">
        <v>150943</v>
      </c>
      <c r="E169" t="s">
        <v>726</v>
      </c>
      <c r="F169" t="s">
        <v>272</v>
      </c>
    </row>
    <row r="170" spans="1:6" x14ac:dyDescent="0.25">
      <c r="A170" t="s">
        <v>727</v>
      </c>
      <c r="B170" t="s">
        <v>728</v>
      </c>
      <c r="C170" t="s">
        <v>65</v>
      </c>
      <c r="D170">
        <v>25922</v>
      </c>
      <c r="E170" t="s">
        <v>510</v>
      </c>
      <c r="F170" t="s">
        <v>106</v>
      </c>
    </row>
    <row r="171" spans="1:6" x14ac:dyDescent="0.25">
      <c r="A171" t="s">
        <v>729</v>
      </c>
      <c r="B171" t="s">
        <v>730</v>
      </c>
      <c r="C171" t="s">
        <v>77</v>
      </c>
      <c r="D171">
        <v>51462</v>
      </c>
      <c r="E171" t="s">
        <v>731</v>
      </c>
      <c r="F171" t="s">
        <v>146</v>
      </c>
    </row>
    <row r="172" spans="1:6" x14ac:dyDescent="0.25">
      <c r="A172" t="s">
        <v>732</v>
      </c>
      <c r="B172" t="s">
        <v>733</v>
      </c>
      <c r="C172" t="s">
        <v>73</v>
      </c>
      <c r="D172">
        <v>250952</v>
      </c>
      <c r="E172" t="s">
        <v>734</v>
      </c>
      <c r="F172" t="s">
        <v>146</v>
      </c>
    </row>
    <row r="173" spans="1:6" x14ac:dyDescent="0.25">
      <c r="A173" t="s">
        <v>735</v>
      </c>
      <c r="B173" t="s">
        <v>736</v>
      </c>
      <c r="C173" t="s">
        <v>73</v>
      </c>
      <c r="D173">
        <v>100936</v>
      </c>
      <c r="E173" t="s">
        <v>737</v>
      </c>
      <c r="F173" t="s">
        <v>106</v>
      </c>
    </row>
    <row r="174" spans="1:6" x14ac:dyDescent="0.25">
      <c r="A174" t="s">
        <v>738</v>
      </c>
      <c r="B174" t="s">
        <v>739</v>
      </c>
      <c r="C174" t="s">
        <v>268</v>
      </c>
      <c r="D174">
        <v>50939</v>
      </c>
      <c r="E174" t="s">
        <v>740</v>
      </c>
      <c r="F174" t="s">
        <v>111</v>
      </c>
    </row>
    <row r="175" spans="1:6" x14ac:dyDescent="0.25">
      <c r="A175" t="s">
        <v>741</v>
      </c>
      <c r="B175" t="s">
        <v>742</v>
      </c>
      <c r="C175" t="s">
        <v>268</v>
      </c>
      <c r="D175">
        <v>200000</v>
      </c>
      <c r="E175" t="s">
        <v>743</v>
      </c>
      <c r="F175" t="s">
        <v>67</v>
      </c>
    </row>
    <row r="176" spans="1:6" x14ac:dyDescent="0.25">
      <c r="A176" t="s">
        <v>744</v>
      </c>
      <c r="B176" t="s">
        <v>745</v>
      </c>
      <c r="C176" t="s">
        <v>77</v>
      </c>
      <c r="D176">
        <v>50986</v>
      </c>
      <c r="E176" t="s">
        <v>746</v>
      </c>
      <c r="F176" t="s">
        <v>79</v>
      </c>
    </row>
    <row r="177" spans="1:6" x14ac:dyDescent="0.25">
      <c r="A177" t="s">
        <v>747</v>
      </c>
      <c r="B177" t="s">
        <v>748</v>
      </c>
      <c r="C177" t="s">
        <v>120</v>
      </c>
      <c r="D177">
        <v>50913</v>
      </c>
      <c r="E177" t="s">
        <v>749</v>
      </c>
      <c r="F177" t="s">
        <v>106</v>
      </c>
    </row>
    <row r="178" spans="1:6" x14ac:dyDescent="0.25">
      <c r="A178" t="s">
        <v>750</v>
      </c>
      <c r="B178" t="s">
        <v>751</v>
      </c>
      <c r="C178" t="s">
        <v>73</v>
      </c>
      <c r="D178">
        <v>100954</v>
      </c>
      <c r="E178" t="s">
        <v>752</v>
      </c>
      <c r="F178" t="s">
        <v>111</v>
      </c>
    </row>
    <row r="179" spans="1:6" x14ac:dyDescent="0.25">
      <c r="A179" t="s">
        <v>753</v>
      </c>
      <c r="B179" t="s">
        <v>754</v>
      </c>
      <c r="C179" t="s">
        <v>268</v>
      </c>
      <c r="D179">
        <v>50907</v>
      </c>
      <c r="E179" t="s">
        <v>755</v>
      </c>
      <c r="F179" t="s">
        <v>67</v>
      </c>
    </row>
    <row r="180" spans="1:6" x14ac:dyDescent="0.25">
      <c r="A180" t="s">
        <v>756</v>
      </c>
      <c r="B180" t="s">
        <v>757</v>
      </c>
      <c r="C180" t="s">
        <v>77</v>
      </c>
      <c r="D180">
        <v>100907</v>
      </c>
      <c r="E180" t="s">
        <v>758</v>
      </c>
      <c r="F180" t="s">
        <v>272</v>
      </c>
    </row>
    <row r="181" spans="1:6" x14ac:dyDescent="0.25">
      <c r="A181" t="s">
        <v>759</v>
      </c>
      <c r="B181" t="s">
        <v>760</v>
      </c>
      <c r="C181" t="s">
        <v>77</v>
      </c>
      <c r="D181">
        <v>50926</v>
      </c>
      <c r="E181" t="s">
        <v>761</v>
      </c>
      <c r="F181" t="s">
        <v>258</v>
      </c>
    </row>
    <row r="182" spans="1:6" x14ac:dyDescent="0.25">
      <c r="A182" t="s">
        <v>762</v>
      </c>
      <c r="B182" t="s">
        <v>763</v>
      </c>
      <c r="C182" t="s">
        <v>268</v>
      </c>
      <c r="D182">
        <v>50987</v>
      </c>
      <c r="E182" t="s">
        <v>764</v>
      </c>
      <c r="F182" t="s">
        <v>79</v>
      </c>
    </row>
    <row r="183" spans="1:6" x14ac:dyDescent="0.25">
      <c r="A183" t="s">
        <v>765</v>
      </c>
      <c r="B183" t="s">
        <v>766</v>
      </c>
      <c r="C183" t="s">
        <v>767</v>
      </c>
      <c r="D183">
        <v>200912</v>
      </c>
      <c r="E183" t="s">
        <v>768</v>
      </c>
      <c r="F183" t="s">
        <v>235</v>
      </c>
    </row>
    <row r="184" spans="1:6" x14ac:dyDescent="0.25">
      <c r="A184" t="s">
        <v>769</v>
      </c>
      <c r="B184" t="s">
        <v>770</v>
      </c>
      <c r="C184" t="s">
        <v>431</v>
      </c>
      <c r="D184">
        <v>100944</v>
      </c>
      <c r="E184" t="s">
        <v>771</v>
      </c>
      <c r="F184" t="s">
        <v>106</v>
      </c>
    </row>
    <row r="185" spans="1:6" x14ac:dyDescent="0.25">
      <c r="A185" t="s">
        <v>772</v>
      </c>
      <c r="B185" t="s">
        <v>773</v>
      </c>
      <c r="C185" t="s">
        <v>268</v>
      </c>
      <c r="D185">
        <v>100911</v>
      </c>
      <c r="E185" t="s">
        <v>774</v>
      </c>
      <c r="F185" t="s">
        <v>111</v>
      </c>
    </row>
    <row r="186" spans="1:6" x14ac:dyDescent="0.25">
      <c r="A186" t="s">
        <v>775</v>
      </c>
      <c r="B186" t="s">
        <v>776</v>
      </c>
      <c r="C186" t="s">
        <v>73</v>
      </c>
      <c r="D186">
        <v>50974</v>
      </c>
      <c r="E186" t="s">
        <v>777</v>
      </c>
      <c r="F186" t="s">
        <v>99</v>
      </c>
    </row>
    <row r="187" spans="1:6" x14ac:dyDescent="0.25">
      <c r="A187" t="s">
        <v>90</v>
      </c>
      <c r="B187" t="s">
        <v>778</v>
      </c>
      <c r="C187" t="s">
        <v>73</v>
      </c>
      <c r="D187">
        <v>100910</v>
      </c>
      <c r="E187" t="s">
        <v>779</v>
      </c>
      <c r="F187" t="s">
        <v>235</v>
      </c>
    </row>
    <row r="188" spans="1:6" x14ac:dyDescent="0.25">
      <c r="A188" t="s">
        <v>780</v>
      </c>
      <c r="B188" t="s">
        <v>781</v>
      </c>
      <c r="C188" t="s">
        <v>299</v>
      </c>
      <c r="D188">
        <v>50950</v>
      </c>
      <c r="E188" t="s">
        <v>782</v>
      </c>
      <c r="F188" t="s">
        <v>99</v>
      </c>
    </row>
    <row r="189" spans="1:6" x14ac:dyDescent="0.25">
      <c r="A189" t="s">
        <v>783</v>
      </c>
      <c r="B189" t="s">
        <v>784</v>
      </c>
      <c r="C189" t="s">
        <v>73</v>
      </c>
      <c r="D189">
        <v>100976</v>
      </c>
      <c r="E189" t="s">
        <v>785</v>
      </c>
      <c r="F189" t="s">
        <v>111</v>
      </c>
    </row>
    <row r="190" spans="1:6" x14ac:dyDescent="0.25">
      <c r="A190" t="s">
        <v>786</v>
      </c>
      <c r="B190" t="s">
        <v>787</v>
      </c>
      <c r="C190" t="s">
        <v>73</v>
      </c>
      <c r="D190">
        <v>100995</v>
      </c>
      <c r="E190" t="s">
        <v>788</v>
      </c>
      <c r="F190" t="s">
        <v>258</v>
      </c>
    </row>
    <row r="191" spans="1:6" x14ac:dyDescent="0.25">
      <c r="A191" t="s">
        <v>789</v>
      </c>
      <c r="B191" t="s">
        <v>790</v>
      </c>
      <c r="C191" t="s">
        <v>77</v>
      </c>
      <c r="D191">
        <v>100961</v>
      </c>
      <c r="E191" t="s">
        <v>791</v>
      </c>
      <c r="F191" t="s">
        <v>272</v>
      </c>
    </row>
    <row r="192" spans="1:6" x14ac:dyDescent="0.25">
      <c r="A192" t="s">
        <v>792</v>
      </c>
      <c r="B192" t="s">
        <v>793</v>
      </c>
      <c r="C192" t="s">
        <v>73</v>
      </c>
      <c r="D192">
        <v>100947</v>
      </c>
      <c r="E192" t="s">
        <v>794</v>
      </c>
      <c r="F192" t="s">
        <v>111</v>
      </c>
    </row>
    <row r="193" spans="1:6" x14ac:dyDescent="0.25">
      <c r="A193" t="s">
        <v>795</v>
      </c>
      <c r="B193" t="s">
        <v>796</v>
      </c>
      <c r="C193" t="s">
        <v>73</v>
      </c>
      <c r="D193">
        <v>50964</v>
      </c>
      <c r="E193" t="s">
        <v>797</v>
      </c>
      <c r="F193" t="s">
        <v>266</v>
      </c>
    </row>
    <row r="194" spans="1:6" x14ac:dyDescent="0.25">
      <c r="A194" t="s">
        <v>798</v>
      </c>
      <c r="B194" t="s">
        <v>799</v>
      </c>
      <c r="C194" t="s">
        <v>65</v>
      </c>
      <c r="D194">
        <v>25958</v>
      </c>
      <c r="E194" t="s">
        <v>800</v>
      </c>
      <c r="F194" t="s">
        <v>266</v>
      </c>
    </row>
    <row r="195" spans="1:6" x14ac:dyDescent="0.25">
      <c r="A195" t="s">
        <v>801</v>
      </c>
      <c r="B195" t="s">
        <v>802</v>
      </c>
      <c r="C195" t="s">
        <v>73</v>
      </c>
      <c r="D195">
        <v>100928</v>
      </c>
      <c r="E195" t="s">
        <v>803</v>
      </c>
      <c r="F195" t="s">
        <v>111</v>
      </c>
    </row>
    <row r="196" spans="1:6" x14ac:dyDescent="0.25">
      <c r="A196" t="s">
        <v>153</v>
      </c>
      <c r="B196" t="s">
        <v>154</v>
      </c>
      <c r="C196" t="s">
        <v>65</v>
      </c>
      <c r="D196">
        <v>10933</v>
      </c>
      <c r="E196" t="s">
        <v>804</v>
      </c>
      <c r="F196" t="s">
        <v>235</v>
      </c>
    </row>
    <row r="197" spans="1:6" x14ac:dyDescent="0.25">
      <c r="A197" t="s">
        <v>90</v>
      </c>
      <c r="B197" t="s">
        <v>805</v>
      </c>
      <c r="C197" t="s">
        <v>73</v>
      </c>
      <c r="D197">
        <v>50947</v>
      </c>
      <c r="E197" t="s">
        <v>806</v>
      </c>
      <c r="F197" t="s">
        <v>272</v>
      </c>
    </row>
    <row r="198" spans="1:6" x14ac:dyDescent="0.25">
      <c r="A198" t="s">
        <v>807</v>
      </c>
      <c r="B198" t="s">
        <v>808</v>
      </c>
      <c r="C198" t="s">
        <v>77</v>
      </c>
      <c r="D198">
        <v>100905</v>
      </c>
      <c r="E198" t="s">
        <v>809</v>
      </c>
      <c r="F198" t="s">
        <v>106</v>
      </c>
    </row>
    <row r="199" spans="1:6" x14ac:dyDescent="0.25">
      <c r="A199" t="s">
        <v>810</v>
      </c>
      <c r="B199" t="s">
        <v>811</v>
      </c>
      <c r="C199" t="s">
        <v>77</v>
      </c>
      <c r="D199">
        <v>100962</v>
      </c>
      <c r="E199" t="s">
        <v>812</v>
      </c>
      <c r="F199" t="s">
        <v>79</v>
      </c>
    </row>
    <row r="200" spans="1:6" x14ac:dyDescent="0.25">
      <c r="A200" t="s">
        <v>813</v>
      </c>
      <c r="B200" t="s">
        <v>814</v>
      </c>
      <c r="C200" t="s">
        <v>73</v>
      </c>
      <c r="D200">
        <v>50919</v>
      </c>
      <c r="E200" t="s">
        <v>815</v>
      </c>
      <c r="F200" t="s">
        <v>146</v>
      </c>
    </row>
    <row r="201" spans="1:6" x14ac:dyDescent="0.25">
      <c r="A201" t="s">
        <v>816</v>
      </c>
      <c r="B201" t="s">
        <v>817</v>
      </c>
      <c r="C201" t="s">
        <v>268</v>
      </c>
      <c r="D201">
        <v>200000</v>
      </c>
      <c r="E201" t="s">
        <v>818</v>
      </c>
      <c r="F201" t="s">
        <v>272</v>
      </c>
    </row>
    <row r="202" spans="1:6" x14ac:dyDescent="0.25">
      <c r="A202" t="s">
        <v>819</v>
      </c>
      <c r="B202" t="s">
        <v>820</v>
      </c>
      <c r="C202" t="s">
        <v>268</v>
      </c>
      <c r="D202">
        <v>50921</v>
      </c>
      <c r="E202" t="s">
        <v>821</v>
      </c>
      <c r="F202" t="s">
        <v>266</v>
      </c>
    </row>
    <row r="203" spans="1:6" x14ac:dyDescent="0.25">
      <c r="A203" t="s">
        <v>546</v>
      </c>
      <c r="B203" t="s">
        <v>822</v>
      </c>
      <c r="C203" t="s">
        <v>73</v>
      </c>
      <c r="D203">
        <v>100973</v>
      </c>
      <c r="E203" t="s">
        <v>823</v>
      </c>
      <c r="F203" t="s">
        <v>146</v>
      </c>
    </row>
    <row r="204" spans="1:6" x14ac:dyDescent="0.25">
      <c r="A204" t="s">
        <v>90</v>
      </c>
      <c r="B204" t="s">
        <v>824</v>
      </c>
      <c r="C204" t="s">
        <v>73</v>
      </c>
      <c r="D204">
        <v>250940</v>
      </c>
      <c r="E204" t="s">
        <v>825</v>
      </c>
      <c r="F204" t="s">
        <v>67</v>
      </c>
    </row>
    <row r="205" spans="1:6" x14ac:dyDescent="0.25">
      <c r="A205" t="s">
        <v>826</v>
      </c>
      <c r="B205" t="s">
        <v>827</v>
      </c>
      <c r="C205" t="s">
        <v>77</v>
      </c>
      <c r="D205">
        <v>100923</v>
      </c>
      <c r="E205" t="s">
        <v>828</v>
      </c>
      <c r="F205" t="s">
        <v>111</v>
      </c>
    </row>
    <row r="206" spans="1:6" x14ac:dyDescent="0.25">
      <c r="A206" t="s">
        <v>829</v>
      </c>
      <c r="B206" t="s">
        <v>830</v>
      </c>
      <c r="C206" t="s">
        <v>73</v>
      </c>
      <c r="D206">
        <v>100909</v>
      </c>
      <c r="E206" t="s">
        <v>831</v>
      </c>
      <c r="F206" t="s">
        <v>67</v>
      </c>
    </row>
    <row r="207" spans="1:6" x14ac:dyDescent="0.25">
      <c r="A207" t="s">
        <v>832</v>
      </c>
      <c r="B207" t="s">
        <v>833</v>
      </c>
      <c r="C207" t="s">
        <v>73</v>
      </c>
      <c r="D207">
        <v>50941</v>
      </c>
      <c r="E207" t="s">
        <v>834</v>
      </c>
      <c r="F207" t="s">
        <v>266</v>
      </c>
    </row>
    <row r="208" spans="1:6" x14ac:dyDescent="0.25">
      <c r="A208" t="s">
        <v>835</v>
      </c>
      <c r="B208" t="s">
        <v>836</v>
      </c>
      <c r="C208" t="s">
        <v>268</v>
      </c>
      <c r="D208">
        <v>100943</v>
      </c>
      <c r="E208" t="s">
        <v>837</v>
      </c>
      <c r="F208" t="s">
        <v>67</v>
      </c>
    </row>
    <row r="209" spans="1:6" x14ac:dyDescent="0.25">
      <c r="A209" t="s">
        <v>838</v>
      </c>
      <c r="B209" t="s">
        <v>839</v>
      </c>
      <c r="C209" t="s">
        <v>73</v>
      </c>
      <c r="D209">
        <v>100943</v>
      </c>
      <c r="E209" t="s">
        <v>840</v>
      </c>
      <c r="F209" t="s">
        <v>111</v>
      </c>
    </row>
    <row r="210" spans="1:6" x14ac:dyDescent="0.25">
      <c r="A210" t="s">
        <v>841</v>
      </c>
      <c r="B210" t="s">
        <v>842</v>
      </c>
      <c r="C210" t="s">
        <v>77</v>
      </c>
      <c r="D210">
        <v>100919</v>
      </c>
      <c r="E210" t="s">
        <v>843</v>
      </c>
      <c r="F210" t="s">
        <v>106</v>
      </c>
    </row>
    <row r="211" spans="1:6" x14ac:dyDescent="0.25">
      <c r="A211" t="s">
        <v>844</v>
      </c>
      <c r="B211" t="s">
        <v>845</v>
      </c>
      <c r="C211" t="s">
        <v>77</v>
      </c>
      <c r="D211">
        <v>50962</v>
      </c>
      <c r="E211" t="s">
        <v>846</v>
      </c>
      <c r="F211" t="s">
        <v>235</v>
      </c>
    </row>
    <row r="212" spans="1:6" x14ac:dyDescent="0.25">
      <c r="A212" t="s">
        <v>847</v>
      </c>
      <c r="B212" t="s">
        <v>848</v>
      </c>
      <c r="C212" t="s">
        <v>77</v>
      </c>
      <c r="D212">
        <v>250000</v>
      </c>
      <c r="E212" t="s">
        <v>849</v>
      </c>
      <c r="F212" t="s">
        <v>258</v>
      </c>
    </row>
    <row r="213" spans="1:6" x14ac:dyDescent="0.25">
      <c r="A213" t="s">
        <v>850</v>
      </c>
      <c r="B213" t="s">
        <v>851</v>
      </c>
      <c r="C213" t="s">
        <v>73</v>
      </c>
      <c r="D213">
        <v>100997</v>
      </c>
      <c r="E213" t="s">
        <v>852</v>
      </c>
      <c r="F213" t="s">
        <v>67</v>
      </c>
    </row>
    <row r="214" spans="1:6" x14ac:dyDescent="0.25">
      <c r="A214" t="s">
        <v>853</v>
      </c>
      <c r="B214" t="s">
        <v>854</v>
      </c>
      <c r="C214" t="s">
        <v>73</v>
      </c>
      <c r="D214">
        <v>100995</v>
      </c>
      <c r="E214" t="s">
        <v>855</v>
      </c>
      <c r="F214" t="s">
        <v>258</v>
      </c>
    </row>
    <row r="215" spans="1:6" x14ac:dyDescent="0.25">
      <c r="A215" t="s">
        <v>90</v>
      </c>
      <c r="B215" t="s">
        <v>856</v>
      </c>
      <c r="C215" t="s">
        <v>77</v>
      </c>
      <c r="D215">
        <v>100961</v>
      </c>
      <c r="E215" t="s">
        <v>857</v>
      </c>
      <c r="F215" t="s">
        <v>272</v>
      </c>
    </row>
    <row r="216" spans="1:6" x14ac:dyDescent="0.25">
      <c r="A216" t="s">
        <v>858</v>
      </c>
      <c r="B216" t="s">
        <v>859</v>
      </c>
      <c r="C216" t="s">
        <v>73</v>
      </c>
      <c r="D216">
        <v>100935</v>
      </c>
      <c r="E216" t="s">
        <v>860</v>
      </c>
      <c r="F216" t="s">
        <v>272</v>
      </c>
    </row>
    <row r="217" spans="1:6" x14ac:dyDescent="0.25">
      <c r="A217" t="s">
        <v>861</v>
      </c>
      <c r="B217" t="s">
        <v>862</v>
      </c>
      <c r="C217" t="s">
        <v>77</v>
      </c>
      <c r="D217">
        <v>50000</v>
      </c>
      <c r="E217" t="s">
        <v>863</v>
      </c>
      <c r="F217" t="s">
        <v>67</v>
      </c>
    </row>
    <row r="218" spans="1:6" x14ac:dyDescent="0.25">
      <c r="A218" t="s">
        <v>864</v>
      </c>
      <c r="B218" t="s">
        <v>865</v>
      </c>
      <c r="C218" t="s">
        <v>268</v>
      </c>
      <c r="D218">
        <v>100975</v>
      </c>
      <c r="E218" t="s">
        <v>866</v>
      </c>
      <c r="F218" t="s">
        <v>386</v>
      </c>
    </row>
    <row r="219" spans="1:6" x14ac:dyDescent="0.25">
      <c r="A219" t="s">
        <v>867</v>
      </c>
      <c r="B219" t="s">
        <v>868</v>
      </c>
      <c r="C219" t="s">
        <v>77</v>
      </c>
      <c r="D219">
        <v>50951</v>
      </c>
      <c r="E219" t="s">
        <v>869</v>
      </c>
      <c r="F219" t="s">
        <v>272</v>
      </c>
    </row>
    <row r="220" spans="1:6" x14ac:dyDescent="0.25">
      <c r="A220" t="s">
        <v>870</v>
      </c>
      <c r="B220" t="s">
        <v>871</v>
      </c>
      <c r="C220" t="s">
        <v>77</v>
      </c>
      <c r="D220">
        <v>50000</v>
      </c>
      <c r="E220" t="s">
        <v>872</v>
      </c>
      <c r="F220" t="s">
        <v>79</v>
      </c>
    </row>
    <row r="221" spans="1:6" x14ac:dyDescent="0.25">
      <c r="A221" t="s">
        <v>376</v>
      </c>
      <c r="B221" t="s">
        <v>873</v>
      </c>
      <c r="C221" t="s">
        <v>73</v>
      </c>
      <c r="D221">
        <v>100000</v>
      </c>
      <c r="E221" t="s">
        <v>874</v>
      </c>
      <c r="F221" t="s">
        <v>67</v>
      </c>
    </row>
    <row r="222" spans="1:6" x14ac:dyDescent="0.25">
      <c r="A222" t="s">
        <v>875</v>
      </c>
      <c r="B222" t="s">
        <v>876</v>
      </c>
      <c r="C222" t="s">
        <v>77</v>
      </c>
      <c r="D222">
        <v>100945</v>
      </c>
      <c r="E222" t="s">
        <v>877</v>
      </c>
      <c r="F222" t="s">
        <v>235</v>
      </c>
    </row>
    <row r="223" spans="1:6" x14ac:dyDescent="0.25">
      <c r="A223" t="s">
        <v>878</v>
      </c>
      <c r="B223" t="s">
        <v>879</v>
      </c>
      <c r="C223" t="s">
        <v>73</v>
      </c>
      <c r="D223">
        <v>50905</v>
      </c>
      <c r="E223" t="s">
        <v>880</v>
      </c>
      <c r="F223" t="s">
        <v>272</v>
      </c>
    </row>
    <row r="224" spans="1:6" x14ac:dyDescent="0.25">
      <c r="A224" t="s">
        <v>881</v>
      </c>
      <c r="B224" t="s">
        <v>882</v>
      </c>
      <c r="C224" t="s">
        <v>268</v>
      </c>
      <c r="D224">
        <v>100966</v>
      </c>
      <c r="E224" t="s">
        <v>883</v>
      </c>
      <c r="F224" t="s">
        <v>272</v>
      </c>
    </row>
    <row r="225" spans="1:6" x14ac:dyDescent="0.25">
      <c r="A225" t="s">
        <v>884</v>
      </c>
      <c r="B225" t="s">
        <v>885</v>
      </c>
      <c r="C225" t="s">
        <v>73</v>
      </c>
      <c r="D225">
        <v>100981</v>
      </c>
      <c r="E225" t="s">
        <v>886</v>
      </c>
      <c r="F225" t="s">
        <v>319</v>
      </c>
    </row>
    <row r="226" spans="1:6" x14ac:dyDescent="0.25">
      <c r="A226" t="s">
        <v>90</v>
      </c>
      <c r="B226" t="s">
        <v>887</v>
      </c>
      <c r="C226" t="s">
        <v>299</v>
      </c>
      <c r="D226">
        <v>50978</v>
      </c>
      <c r="E226" t="s">
        <v>888</v>
      </c>
      <c r="F226" t="s">
        <v>111</v>
      </c>
    </row>
    <row r="227" spans="1:6" x14ac:dyDescent="0.25">
      <c r="A227" t="s">
        <v>889</v>
      </c>
      <c r="B227" t="s">
        <v>890</v>
      </c>
      <c r="C227" t="s">
        <v>73</v>
      </c>
      <c r="D227">
        <v>50000</v>
      </c>
      <c r="E227" t="s">
        <v>891</v>
      </c>
      <c r="F227" t="s">
        <v>67</v>
      </c>
    </row>
    <row r="228" spans="1:6" x14ac:dyDescent="0.25">
      <c r="A228" t="s">
        <v>892</v>
      </c>
      <c r="B228" t="s">
        <v>893</v>
      </c>
      <c r="C228" t="s">
        <v>73</v>
      </c>
      <c r="D228">
        <v>50974</v>
      </c>
      <c r="E228" t="s">
        <v>894</v>
      </c>
      <c r="F228" t="s">
        <v>272</v>
      </c>
    </row>
    <row r="229" spans="1:6" x14ac:dyDescent="0.25">
      <c r="A229" t="s">
        <v>895</v>
      </c>
      <c r="B229" t="s">
        <v>896</v>
      </c>
      <c r="C229" t="s">
        <v>77</v>
      </c>
      <c r="D229">
        <v>100935</v>
      </c>
      <c r="E229" t="s">
        <v>897</v>
      </c>
      <c r="F229" t="s">
        <v>146</v>
      </c>
    </row>
    <row r="230" spans="1:6" x14ac:dyDescent="0.25">
      <c r="A230" t="s">
        <v>898</v>
      </c>
      <c r="B230" t="s">
        <v>899</v>
      </c>
      <c r="C230" t="s">
        <v>73</v>
      </c>
      <c r="D230">
        <v>100978</v>
      </c>
      <c r="E230" t="s">
        <v>900</v>
      </c>
      <c r="F230" t="s">
        <v>258</v>
      </c>
    </row>
    <row r="231" spans="1:6" x14ac:dyDescent="0.25">
      <c r="A231" t="s">
        <v>901</v>
      </c>
      <c r="B231" t="s">
        <v>902</v>
      </c>
      <c r="C231" t="s">
        <v>77</v>
      </c>
      <c r="D231">
        <v>100910</v>
      </c>
      <c r="E231" t="s">
        <v>903</v>
      </c>
      <c r="F231" t="s">
        <v>67</v>
      </c>
    </row>
    <row r="232" spans="1:6" x14ac:dyDescent="0.25">
      <c r="A232" t="s">
        <v>904</v>
      </c>
      <c r="B232" t="s">
        <v>905</v>
      </c>
      <c r="C232" t="s">
        <v>77</v>
      </c>
      <c r="D232">
        <v>100991</v>
      </c>
      <c r="E232" t="s">
        <v>906</v>
      </c>
      <c r="F232" t="s">
        <v>258</v>
      </c>
    </row>
    <row r="233" spans="1:6" x14ac:dyDescent="0.25">
      <c r="A233" t="s">
        <v>907</v>
      </c>
      <c r="B233" t="s">
        <v>908</v>
      </c>
      <c r="C233" t="s">
        <v>73</v>
      </c>
      <c r="D233">
        <v>100938</v>
      </c>
      <c r="E233" t="s">
        <v>909</v>
      </c>
      <c r="F233" t="s">
        <v>67</v>
      </c>
    </row>
    <row r="234" spans="1:6" x14ac:dyDescent="0.25">
      <c r="A234" t="s">
        <v>910</v>
      </c>
      <c r="B234" t="s">
        <v>911</v>
      </c>
      <c r="C234" t="s">
        <v>77</v>
      </c>
      <c r="D234">
        <v>50926</v>
      </c>
      <c r="E234" t="s">
        <v>912</v>
      </c>
      <c r="F234" t="s">
        <v>379</v>
      </c>
    </row>
    <row r="235" spans="1:6" x14ac:dyDescent="0.25">
      <c r="A235" t="s">
        <v>913</v>
      </c>
      <c r="B235" t="s">
        <v>914</v>
      </c>
      <c r="C235" t="s">
        <v>915</v>
      </c>
      <c r="D235">
        <v>30946</v>
      </c>
      <c r="E235" t="s">
        <v>916</v>
      </c>
      <c r="F235" t="s">
        <v>67</v>
      </c>
    </row>
    <row r="236" spans="1:6" x14ac:dyDescent="0.25">
      <c r="A236" t="s">
        <v>917</v>
      </c>
      <c r="B236" t="s">
        <v>918</v>
      </c>
      <c r="C236" t="s">
        <v>65</v>
      </c>
      <c r="D236">
        <v>25985</v>
      </c>
      <c r="E236" t="s">
        <v>919</v>
      </c>
      <c r="F236" t="s">
        <v>111</v>
      </c>
    </row>
    <row r="237" spans="1:6" x14ac:dyDescent="0.25">
      <c r="A237" t="s">
        <v>920</v>
      </c>
      <c r="B237" t="s">
        <v>921</v>
      </c>
      <c r="C237" t="s">
        <v>77</v>
      </c>
      <c r="D237">
        <v>100964</v>
      </c>
      <c r="E237" t="s">
        <v>922</v>
      </c>
      <c r="F237" t="s">
        <v>258</v>
      </c>
    </row>
    <row r="238" spans="1:6" x14ac:dyDescent="0.25">
      <c r="A238" t="s">
        <v>90</v>
      </c>
      <c r="B238" t="s">
        <v>923</v>
      </c>
      <c r="C238" t="s">
        <v>73</v>
      </c>
      <c r="D238">
        <v>100931</v>
      </c>
      <c r="E238" t="s">
        <v>924</v>
      </c>
      <c r="F238" t="s">
        <v>272</v>
      </c>
    </row>
    <row r="239" spans="1:6" x14ac:dyDescent="0.25">
      <c r="A239" t="s">
        <v>925</v>
      </c>
      <c r="B239" t="s">
        <v>926</v>
      </c>
      <c r="C239" t="s">
        <v>73</v>
      </c>
      <c r="D239">
        <v>100910</v>
      </c>
      <c r="E239" t="s">
        <v>927</v>
      </c>
      <c r="F239" t="s">
        <v>146</v>
      </c>
    </row>
    <row r="240" spans="1:6" x14ac:dyDescent="0.25">
      <c r="A240" t="s">
        <v>558</v>
      </c>
      <c r="B240" t="s">
        <v>928</v>
      </c>
      <c r="C240" t="s">
        <v>73</v>
      </c>
      <c r="D240">
        <v>50970</v>
      </c>
      <c r="E240" t="s">
        <v>929</v>
      </c>
      <c r="F240" t="s">
        <v>266</v>
      </c>
    </row>
    <row r="241" spans="1:6" x14ac:dyDescent="0.25">
      <c r="A241" t="s">
        <v>546</v>
      </c>
      <c r="B241" t="s">
        <v>930</v>
      </c>
      <c r="C241" t="s">
        <v>73</v>
      </c>
      <c r="D241">
        <v>50909</v>
      </c>
      <c r="E241" t="s">
        <v>931</v>
      </c>
      <c r="F241" t="s">
        <v>111</v>
      </c>
    </row>
    <row r="242" spans="1:6" x14ac:dyDescent="0.25">
      <c r="A242" t="s">
        <v>932</v>
      </c>
      <c r="B242" t="s">
        <v>933</v>
      </c>
      <c r="C242" t="s">
        <v>77</v>
      </c>
      <c r="D242">
        <v>50968</v>
      </c>
      <c r="E242" t="s">
        <v>934</v>
      </c>
      <c r="F242" t="s">
        <v>67</v>
      </c>
    </row>
    <row r="243" spans="1:6" x14ac:dyDescent="0.25">
      <c r="A243" t="s">
        <v>150</v>
      </c>
      <c r="B243" t="s">
        <v>935</v>
      </c>
      <c r="C243" t="s">
        <v>77</v>
      </c>
      <c r="D243">
        <v>50927</v>
      </c>
      <c r="E243" t="s">
        <v>936</v>
      </c>
      <c r="F243" t="s">
        <v>146</v>
      </c>
    </row>
    <row r="244" spans="1:6" x14ac:dyDescent="0.25">
      <c r="A244" t="s">
        <v>937</v>
      </c>
      <c r="B244" t="s">
        <v>938</v>
      </c>
      <c r="C244" t="s">
        <v>73</v>
      </c>
      <c r="D244">
        <v>50000</v>
      </c>
      <c r="E244" t="s">
        <v>939</v>
      </c>
      <c r="F244" t="s">
        <v>67</v>
      </c>
    </row>
    <row r="245" spans="1:6" x14ac:dyDescent="0.25">
      <c r="A245" t="s">
        <v>940</v>
      </c>
      <c r="B245" t="s">
        <v>941</v>
      </c>
      <c r="C245" t="s">
        <v>268</v>
      </c>
      <c r="D245">
        <v>100965</v>
      </c>
      <c r="E245" t="s">
        <v>942</v>
      </c>
      <c r="F245" t="s">
        <v>258</v>
      </c>
    </row>
    <row r="246" spans="1:6" x14ac:dyDescent="0.25">
      <c r="A246" t="s">
        <v>943</v>
      </c>
      <c r="B246" t="s">
        <v>944</v>
      </c>
      <c r="C246" t="s">
        <v>73</v>
      </c>
      <c r="D246">
        <v>250000</v>
      </c>
      <c r="E246" t="s">
        <v>945</v>
      </c>
      <c r="F246" t="s">
        <v>67</v>
      </c>
    </row>
    <row r="247" spans="1:6" x14ac:dyDescent="0.25">
      <c r="A247" t="s">
        <v>946</v>
      </c>
      <c r="B247" t="s">
        <v>947</v>
      </c>
      <c r="C247" t="s">
        <v>73</v>
      </c>
      <c r="D247">
        <v>100911</v>
      </c>
      <c r="E247" t="s">
        <v>948</v>
      </c>
      <c r="F247" t="s">
        <v>272</v>
      </c>
    </row>
    <row r="248" spans="1:6" x14ac:dyDescent="0.25">
      <c r="A248" t="s">
        <v>949</v>
      </c>
      <c r="B248" t="s">
        <v>950</v>
      </c>
      <c r="C248" t="s">
        <v>77</v>
      </c>
      <c r="D248">
        <v>50994</v>
      </c>
      <c r="E248" t="s">
        <v>951</v>
      </c>
      <c r="F248" t="s">
        <v>235</v>
      </c>
    </row>
    <row r="249" spans="1:6" x14ac:dyDescent="0.25">
      <c r="A249" t="s">
        <v>952</v>
      </c>
      <c r="B249" t="s">
        <v>953</v>
      </c>
      <c r="C249" t="s">
        <v>73</v>
      </c>
      <c r="D249">
        <v>100998</v>
      </c>
      <c r="E249" t="s">
        <v>954</v>
      </c>
      <c r="F249" t="s">
        <v>258</v>
      </c>
    </row>
    <row r="250" spans="1:6" x14ac:dyDescent="0.25">
      <c r="A250" t="s">
        <v>955</v>
      </c>
      <c r="B250" t="s">
        <v>956</v>
      </c>
      <c r="C250" t="s">
        <v>73</v>
      </c>
      <c r="D250">
        <v>50997</v>
      </c>
      <c r="E250" t="s">
        <v>957</v>
      </c>
      <c r="F250" t="s">
        <v>386</v>
      </c>
    </row>
    <row r="251" spans="1:6" x14ac:dyDescent="0.25">
      <c r="A251" t="s">
        <v>958</v>
      </c>
      <c r="B251" t="s">
        <v>959</v>
      </c>
      <c r="C251" t="s">
        <v>73</v>
      </c>
      <c r="D251">
        <v>100908</v>
      </c>
      <c r="E251" t="s">
        <v>960</v>
      </c>
      <c r="F251" t="s">
        <v>106</v>
      </c>
    </row>
    <row r="252" spans="1:6" x14ac:dyDescent="0.25">
      <c r="A252" t="s">
        <v>961</v>
      </c>
      <c r="B252" t="s">
        <v>962</v>
      </c>
      <c r="C252" t="s">
        <v>77</v>
      </c>
      <c r="D252">
        <v>100938</v>
      </c>
      <c r="E252" t="s">
        <v>963</v>
      </c>
      <c r="F252" t="s">
        <v>146</v>
      </c>
    </row>
    <row r="253" spans="1:6" x14ac:dyDescent="0.25">
      <c r="A253" t="s">
        <v>964</v>
      </c>
      <c r="B253" t="s">
        <v>965</v>
      </c>
      <c r="C253" t="s">
        <v>73</v>
      </c>
      <c r="D253">
        <v>100936</v>
      </c>
      <c r="E253" t="s">
        <v>966</v>
      </c>
      <c r="F253" t="s">
        <v>67</v>
      </c>
    </row>
    <row r="254" spans="1:6" x14ac:dyDescent="0.25">
      <c r="A254" t="s">
        <v>967</v>
      </c>
      <c r="B254" t="s">
        <v>968</v>
      </c>
      <c r="C254" t="s">
        <v>73</v>
      </c>
      <c r="D254">
        <v>100913</v>
      </c>
      <c r="E254" t="s">
        <v>969</v>
      </c>
      <c r="F254" t="s">
        <v>258</v>
      </c>
    </row>
    <row r="255" spans="1:6" x14ac:dyDescent="0.25">
      <c r="A255" t="s">
        <v>970</v>
      </c>
      <c r="B255" t="s">
        <v>971</v>
      </c>
      <c r="C255" t="s">
        <v>73</v>
      </c>
      <c r="D255">
        <v>100966</v>
      </c>
      <c r="E255" t="s">
        <v>972</v>
      </c>
      <c r="F255" t="s">
        <v>111</v>
      </c>
    </row>
    <row r="256" spans="1:6" x14ac:dyDescent="0.25">
      <c r="A256" t="s">
        <v>973</v>
      </c>
      <c r="B256" t="s">
        <v>974</v>
      </c>
      <c r="C256" t="s">
        <v>77</v>
      </c>
      <c r="D256">
        <v>50938</v>
      </c>
      <c r="E256" t="s">
        <v>975</v>
      </c>
      <c r="F256" t="s">
        <v>99</v>
      </c>
    </row>
    <row r="257" spans="1:6" x14ac:dyDescent="0.25">
      <c r="A257" t="s">
        <v>976</v>
      </c>
      <c r="B257" t="s">
        <v>977</v>
      </c>
      <c r="C257" t="s">
        <v>268</v>
      </c>
      <c r="D257">
        <v>1000998</v>
      </c>
      <c r="E257" t="s">
        <v>978</v>
      </c>
      <c r="F257" t="s">
        <v>258</v>
      </c>
    </row>
    <row r="258" spans="1:6" x14ac:dyDescent="0.25">
      <c r="A258" t="s">
        <v>979</v>
      </c>
      <c r="B258" t="s">
        <v>980</v>
      </c>
      <c r="C258" t="s">
        <v>478</v>
      </c>
      <c r="D258">
        <v>50000</v>
      </c>
      <c r="E258" t="s">
        <v>981</v>
      </c>
      <c r="F258" t="s">
        <v>258</v>
      </c>
    </row>
    <row r="259" spans="1:6" x14ac:dyDescent="0.25">
      <c r="A259" t="s">
        <v>982</v>
      </c>
      <c r="B259" t="s">
        <v>983</v>
      </c>
      <c r="C259" t="s">
        <v>984</v>
      </c>
      <c r="D259">
        <v>100338</v>
      </c>
      <c r="E259" t="s">
        <v>985</v>
      </c>
      <c r="F259" t="s">
        <v>258</v>
      </c>
    </row>
    <row r="260" spans="1:6" x14ac:dyDescent="0.25">
      <c r="A260" t="s">
        <v>90</v>
      </c>
      <c r="B260" t="s">
        <v>986</v>
      </c>
      <c r="C260" t="s">
        <v>73</v>
      </c>
      <c r="D260">
        <v>250905</v>
      </c>
      <c r="E260" t="s">
        <v>987</v>
      </c>
      <c r="F260" t="s">
        <v>266</v>
      </c>
    </row>
    <row r="261" spans="1:6" x14ac:dyDescent="0.25">
      <c r="A261" t="s">
        <v>988</v>
      </c>
      <c r="B261" t="s">
        <v>989</v>
      </c>
      <c r="C261" t="s">
        <v>73</v>
      </c>
      <c r="D261">
        <v>50927</v>
      </c>
      <c r="E261" t="s">
        <v>990</v>
      </c>
      <c r="F261" t="s">
        <v>67</v>
      </c>
    </row>
    <row r="262" spans="1:6" x14ac:dyDescent="0.25">
      <c r="A262" t="s">
        <v>991</v>
      </c>
      <c r="B262" t="s">
        <v>992</v>
      </c>
      <c r="C262" t="s">
        <v>77</v>
      </c>
      <c r="D262">
        <v>50000</v>
      </c>
      <c r="E262" t="s">
        <v>993</v>
      </c>
      <c r="F262" t="s">
        <v>272</v>
      </c>
    </row>
    <row r="263" spans="1:6" x14ac:dyDescent="0.25">
      <c r="A263" t="s">
        <v>994</v>
      </c>
      <c r="B263" t="s">
        <v>995</v>
      </c>
      <c r="C263" t="s">
        <v>73</v>
      </c>
      <c r="D263">
        <v>50000</v>
      </c>
      <c r="E263" t="s">
        <v>996</v>
      </c>
      <c r="F263" t="s">
        <v>67</v>
      </c>
    </row>
    <row r="264" spans="1:6" x14ac:dyDescent="0.25">
      <c r="A264" t="s">
        <v>997</v>
      </c>
      <c r="B264" t="s">
        <v>998</v>
      </c>
      <c r="C264" t="s">
        <v>268</v>
      </c>
      <c r="D264">
        <v>50984</v>
      </c>
      <c r="E264" t="s">
        <v>999</v>
      </c>
      <c r="F264" t="s">
        <v>146</v>
      </c>
    </row>
    <row r="265" spans="1:6" x14ac:dyDescent="0.25">
      <c r="A265" t="s">
        <v>90</v>
      </c>
      <c r="B265" t="s">
        <v>1000</v>
      </c>
      <c r="C265" t="s">
        <v>915</v>
      </c>
      <c r="D265">
        <v>16050000</v>
      </c>
      <c r="E265" t="s">
        <v>1001</v>
      </c>
      <c r="F265" t="s">
        <v>235</v>
      </c>
    </row>
    <row r="266" spans="1:6" x14ac:dyDescent="0.25">
      <c r="A266" t="s">
        <v>1002</v>
      </c>
      <c r="B266" t="s">
        <v>1003</v>
      </c>
      <c r="C266" t="s">
        <v>77</v>
      </c>
      <c r="D266">
        <v>50951</v>
      </c>
      <c r="E266" t="s">
        <v>1004</v>
      </c>
      <c r="F266" t="s">
        <v>235</v>
      </c>
    </row>
    <row r="267" spans="1:6" x14ac:dyDescent="0.25">
      <c r="A267" t="s">
        <v>1005</v>
      </c>
      <c r="B267" t="s">
        <v>1006</v>
      </c>
      <c r="C267" t="s">
        <v>478</v>
      </c>
      <c r="D267">
        <v>50931</v>
      </c>
      <c r="E267" t="s">
        <v>1007</v>
      </c>
      <c r="F267" t="s">
        <v>99</v>
      </c>
    </row>
    <row r="268" spans="1:6" x14ac:dyDescent="0.25">
      <c r="A268" t="s">
        <v>1008</v>
      </c>
      <c r="B268" t="s">
        <v>1009</v>
      </c>
      <c r="C268" t="s">
        <v>268</v>
      </c>
      <c r="D268">
        <v>50920</v>
      </c>
      <c r="E268" t="s">
        <v>1010</v>
      </c>
      <c r="F268" t="s">
        <v>106</v>
      </c>
    </row>
    <row r="269" spans="1:6" x14ac:dyDescent="0.25">
      <c r="A269" t="s">
        <v>1011</v>
      </c>
      <c r="B269" t="s">
        <v>1012</v>
      </c>
      <c r="C269" t="s">
        <v>268</v>
      </c>
      <c r="D269">
        <v>50978</v>
      </c>
      <c r="E269" t="s">
        <v>1013</v>
      </c>
      <c r="F269" t="s">
        <v>504</v>
      </c>
    </row>
    <row r="270" spans="1:6" x14ac:dyDescent="0.25">
      <c r="A270" t="s">
        <v>1014</v>
      </c>
      <c r="B270" t="s">
        <v>1015</v>
      </c>
      <c r="C270" t="s">
        <v>77</v>
      </c>
      <c r="D270">
        <v>100909</v>
      </c>
      <c r="E270" t="s">
        <v>1016</v>
      </c>
      <c r="F270" t="s">
        <v>111</v>
      </c>
    </row>
    <row r="271" spans="1:6" x14ac:dyDescent="0.25">
      <c r="A271" t="s">
        <v>199</v>
      </c>
      <c r="B271" t="s">
        <v>1017</v>
      </c>
      <c r="C271" t="s">
        <v>1018</v>
      </c>
      <c r="D271">
        <v>35941</v>
      </c>
      <c r="E271" t="s">
        <v>1019</v>
      </c>
      <c r="F271" t="s">
        <v>235</v>
      </c>
    </row>
    <row r="272" spans="1:6" x14ac:dyDescent="0.25">
      <c r="A272" t="s">
        <v>1020</v>
      </c>
      <c r="B272" t="s">
        <v>1021</v>
      </c>
      <c r="C272" t="s">
        <v>77</v>
      </c>
      <c r="D272">
        <v>100961</v>
      </c>
      <c r="E272" t="s">
        <v>1022</v>
      </c>
      <c r="F272" t="s">
        <v>111</v>
      </c>
    </row>
    <row r="273" spans="1:6" x14ac:dyDescent="0.25">
      <c r="A273" t="s">
        <v>1023</v>
      </c>
      <c r="B273" t="s">
        <v>1024</v>
      </c>
      <c r="C273" t="s">
        <v>431</v>
      </c>
      <c r="D273">
        <v>55952</v>
      </c>
      <c r="E273" t="s">
        <v>1025</v>
      </c>
      <c r="F273" t="s">
        <v>111</v>
      </c>
    </row>
    <row r="274" spans="1:6" x14ac:dyDescent="0.25">
      <c r="A274" t="s">
        <v>90</v>
      </c>
      <c r="B274" t="s">
        <v>1026</v>
      </c>
      <c r="C274" t="s">
        <v>77</v>
      </c>
      <c r="D274">
        <v>100914</v>
      </c>
      <c r="E274" t="s">
        <v>1027</v>
      </c>
      <c r="F274" t="s">
        <v>258</v>
      </c>
    </row>
    <row r="275" spans="1:6" x14ac:dyDescent="0.25">
      <c r="A275" t="s">
        <v>1028</v>
      </c>
      <c r="B275" t="s">
        <v>1029</v>
      </c>
      <c r="C275" t="s">
        <v>1018</v>
      </c>
      <c r="D275">
        <v>35936</v>
      </c>
      <c r="E275" t="s">
        <v>1030</v>
      </c>
      <c r="F275" t="s">
        <v>266</v>
      </c>
    </row>
    <row r="276" spans="1:6" x14ac:dyDescent="0.25">
      <c r="A276" t="s">
        <v>1031</v>
      </c>
      <c r="B276" t="s">
        <v>1032</v>
      </c>
      <c r="C276" t="s">
        <v>77</v>
      </c>
      <c r="D276">
        <v>100974</v>
      </c>
      <c r="E276" t="s">
        <v>1033</v>
      </c>
      <c r="F276" t="s">
        <v>272</v>
      </c>
    </row>
    <row r="277" spans="1:6" x14ac:dyDescent="0.25">
      <c r="A277" t="s">
        <v>1034</v>
      </c>
      <c r="B277" t="s">
        <v>1035</v>
      </c>
      <c r="C277" t="s">
        <v>77</v>
      </c>
      <c r="D277">
        <v>500990</v>
      </c>
      <c r="E277" t="s">
        <v>1036</v>
      </c>
      <c r="F277" t="s">
        <v>99</v>
      </c>
    </row>
    <row r="278" spans="1:6" x14ac:dyDescent="0.25">
      <c r="A278" t="s">
        <v>1037</v>
      </c>
      <c r="B278" t="s">
        <v>1038</v>
      </c>
      <c r="C278" t="s">
        <v>299</v>
      </c>
      <c r="D278">
        <v>50916</v>
      </c>
      <c r="E278" t="s">
        <v>1039</v>
      </c>
      <c r="F278" t="s">
        <v>235</v>
      </c>
    </row>
    <row r="279" spans="1:6" x14ac:dyDescent="0.25">
      <c r="A279" t="s">
        <v>1040</v>
      </c>
      <c r="B279" t="s">
        <v>1041</v>
      </c>
      <c r="C279" t="s">
        <v>77</v>
      </c>
      <c r="D279">
        <v>100997</v>
      </c>
      <c r="E279" t="s">
        <v>1042</v>
      </c>
      <c r="F279" t="s">
        <v>266</v>
      </c>
    </row>
    <row r="280" spans="1:6" x14ac:dyDescent="0.25">
      <c r="A280" t="s">
        <v>90</v>
      </c>
      <c r="B280" t="s">
        <v>1043</v>
      </c>
      <c r="C280" t="s">
        <v>77</v>
      </c>
      <c r="D280">
        <v>50000</v>
      </c>
      <c r="E280" t="s">
        <v>1044</v>
      </c>
      <c r="F280" t="s">
        <v>79</v>
      </c>
    </row>
    <row r="281" spans="1:6" x14ac:dyDescent="0.25">
      <c r="A281" t="s">
        <v>1045</v>
      </c>
      <c r="B281" t="s">
        <v>1046</v>
      </c>
      <c r="C281" t="s">
        <v>268</v>
      </c>
      <c r="D281">
        <v>100919</v>
      </c>
      <c r="E281" t="s">
        <v>1047</v>
      </c>
      <c r="F281" t="s">
        <v>258</v>
      </c>
    </row>
    <row r="282" spans="1:6" x14ac:dyDescent="0.25">
      <c r="A282" t="s">
        <v>1048</v>
      </c>
      <c r="B282" t="s">
        <v>1049</v>
      </c>
      <c r="C282" t="s">
        <v>77</v>
      </c>
      <c r="D282">
        <v>50917</v>
      </c>
      <c r="E282" t="s">
        <v>1050</v>
      </c>
      <c r="F282" t="s">
        <v>146</v>
      </c>
    </row>
    <row r="283" spans="1:6" x14ac:dyDescent="0.25">
      <c r="A283" t="s">
        <v>1051</v>
      </c>
      <c r="B283" t="s">
        <v>1052</v>
      </c>
      <c r="C283" t="s">
        <v>77</v>
      </c>
      <c r="D283">
        <v>100971</v>
      </c>
      <c r="E283" t="s">
        <v>1053</v>
      </c>
      <c r="F283" t="s">
        <v>272</v>
      </c>
    </row>
    <row r="284" spans="1:6" x14ac:dyDescent="0.25">
      <c r="A284" t="s">
        <v>1054</v>
      </c>
      <c r="B284" t="s">
        <v>1055</v>
      </c>
      <c r="C284" t="s">
        <v>77</v>
      </c>
      <c r="D284">
        <v>100931</v>
      </c>
      <c r="E284" t="s">
        <v>1056</v>
      </c>
      <c r="F284" t="s">
        <v>235</v>
      </c>
    </row>
    <row r="285" spans="1:6" x14ac:dyDescent="0.25">
      <c r="A285" t="s">
        <v>1057</v>
      </c>
      <c r="B285" t="s">
        <v>1058</v>
      </c>
      <c r="C285" t="s">
        <v>73</v>
      </c>
      <c r="D285">
        <v>103449</v>
      </c>
      <c r="E285" t="s">
        <v>1059</v>
      </c>
      <c r="F285" t="s">
        <v>1060</v>
      </c>
    </row>
    <row r="286" spans="1:6" x14ac:dyDescent="0.25">
      <c r="A286" t="s">
        <v>1061</v>
      </c>
      <c r="B286" t="s">
        <v>1062</v>
      </c>
      <c r="C286" t="s">
        <v>915</v>
      </c>
      <c r="D286">
        <v>100943</v>
      </c>
      <c r="E286" t="s">
        <v>1063</v>
      </c>
      <c r="F286" t="s">
        <v>266</v>
      </c>
    </row>
    <row r="287" spans="1:6" x14ac:dyDescent="0.25">
      <c r="A287" t="s">
        <v>1064</v>
      </c>
      <c r="B287" t="s">
        <v>1065</v>
      </c>
      <c r="C287" t="s">
        <v>77</v>
      </c>
      <c r="D287">
        <v>100919</v>
      </c>
      <c r="E287" t="s">
        <v>1066</v>
      </c>
      <c r="F287" t="s">
        <v>235</v>
      </c>
    </row>
    <row r="288" spans="1:6" x14ac:dyDescent="0.25">
      <c r="A288" t="s">
        <v>177</v>
      </c>
      <c r="B288" t="s">
        <v>178</v>
      </c>
      <c r="C288" t="s">
        <v>69</v>
      </c>
      <c r="D288">
        <v>30098</v>
      </c>
      <c r="E288" t="s">
        <v>1067</v>
      </c>
      <c r="F288" t="s">
        <v>67</v>
      </c>
    </row>
    <row r="289" spans="1:6" x14ac:dyDescent="0.25">
      <c r="A289" t="s">
        <v>1068</v>
      </c>
      <c r="B289" t="s">
        <v>1069</v>
      </c>
      <c r="C289" t="s">
        <v>73</v>
      </c>
      <c r="D289">
        <v>100965</v>
      </c>
      <c r="E289" t="s">
        <v>1070</v>
      </c>
      <c r="F289" t="s">
        <v>272</v>
      </c>
    </row>
    <row r="290" spans="1:6" x14ac:dyDescent="0.25">
      <c r="A290" t="s">
        <v>1071</v>
      </c>
      <c r="B290" t="s">
        <v>1072</v>
      </c>
      <c r="C290" t="s">
        <v>268</v>
      </c>
      <c r="D290">
        <v>100980</v>
      </c>
      <c r="E290" t="s">
        <v>1073</v>
      </c>
      <c r="F290" t="s">
        <v>272</v>
      </c>
    </row>
    <row r="291" spans="1:6" x14ac:dyDescent="0.25">
      <c r="A291" t="s">
        <v>1074</v>
      </c>
      <c r="B291" t="s">
        <v>1075</v>
      </c>
      <c r="C291" t="s">
        <v>73</v>
      </c>
      <c r="D291">
        <v>100941</v>
      </c>
      <c r="E291" t="s">
        <v>1076</v>
      </c>
      <c r="F291" t="s">
        <v>272</v>
      </c>
    </row>
    <row r="292" spans="1:6" x14ac:dyDescent="0.25">
      <c r="A292" t="s">
        <v>1077</v>
      </c>
      <c r="B292" t="s">
        <v>1078</v>
      </c>
      <c r="C292" t="s">
        <v>268</v>
      </c>
      <c r="D292">
        <v>100934</v>
      </c>
      <c r="E292" t="s">
        <v>1079</v>
      </c>
      <c r="F292" t="s">
        <v>99</v>
      </c>
    </row>
    <row r="293" spans="1:6" x14ac:dyDescent="0.25">
      <c r="A293" t="s">
        <v>1080</v>
      </c>
      <c r="B293" t="s">
        <v>1081</v>
      </c>
      <c r="C293" t="s">
        <v>299</v>
      </c>
      <c r="D293">
        <v>250953</v>
      </c>
      <c r="E293" t="s">
        <v>1082</v>
      </c>
      <c r="F293" t="s">
        <v>272</v>
      </c>
    </row>
    <row r="294" spans="1:6" x14ac:dyDescent="0.25">
      <c r="A294" t="s">
        <v>376</v>
      </c>
      <c r="B294" t="s">
        <v>1083</v>
      </c>
      <c r="C294" t="s">
        <v>77</v>
      </c>
      <c r="D294">
        <v>100914</v>
      </c>
      <c r="E294" t="s">
        <v>1084</v>
      </c>
      <c r="F294" t="s">
        <v>67</v>
      </c>
    </row>
    <row r="295" spans="1:6" x14ac:dyDescent="0.25">
      <c r="A295" t="s">
        <v>1085</v>
      </c>
      <c r="B295" t="s">
        <v>1086</v>
      </c>
      <c r="C295" t="s">
        <v>268</v>
      </c>
      <c r="D295">
        <v>100989</v>
      </c>
      <c r="E295" t="s">
        <v>1087</v>
      </c>
      <c r="F295" t="s">
        <v>272</v>
      </c>
    </row>
    <row r="296" spans="1:6" x14ac:dyDescent="0.25">
      <c r="A296" t="s">
        <v>1088</v>
      </c>
      <c r="B296" t="s">
        <v>1089</v>
      </c>
      <c r="C296" t="s">
        <v>77</v>
      </c>
      <c r="D296">
        <v>100904</v>
      </c>
      <c r="E296" t="s">
        <v>1090</v>
      </c>
      <c r="F296" t="s">
        <v>67</v>
      </c>
    </row>
    <row r="297" spans="1:6" x14ac:dyDescent="0.25">
      <c r="A297" t="s">
        <v>1091</v>
      </c>
      <c r="B297" t="s">
        <v>1092</v>
      </c>
      <c r="C297" t="s">
        <v>73</v>
      </c>
      <c r="D297">
        <v>100000</v>
      </c>
      <c r="E297" t="s">
        <v>1093</v>
      </c>
      <c r="F297" t="s">
        <v>67</v>
      </c>
    </row>
    <row r="298" spans="1:6" x14ac:dyDescent="0.25">
      <c r="A298" t="s">
        <v>1094</v>
      </c>
      <c r="B298" t="s">
        <v>1095</v>
      </c>
      <c r="C298" t="s">
        <v>268</v>
      </c>
      <c r="D298">
        <v>50000</v>
      </c>
      <c r="E298" t="s">
        <v>1096</v>
      </c>
      <c r="F298" t="s">
        <v>67</v>
      </c>
    </row>
    <row r="299" spans="1:6" x14ac:dyDescent="0.25">
      <c r="A299" t="s">
        <v>1097</v>
      </c>
      <c r="B299" t="s">
        <v>1098</v>
      </c>
      <c r="C299" t="s">
        <v>77</v>
      </c>
      <c r="D299">
        <v>100000</v>
      </c>
      <c r="E299" t="s">
        <v>1099</v>
      </c>
      <c r="F299" t="s">
        <v>319</v>
      </c>
    </row>
    <row r="300" spans="1:6" x14ac:dyDescent="0.25">
      <c r="A300" t="s">
        <v>90</v>
      </c>
      <c r="B300" t="s">
        <v>1100</v>
      </c>
      <c r="C300" t="s">
        <v>77</v>
      </c>
      <c r="D300">
        <v>50903</v>
      </c>
      <c r="E300" t="s">
        <v>1101</v>
      </c>
      <c r="F300" t="s">
        <v>111</v>
      </c>
    </row>
    <row r="301" spans="1:6" x14ac:dyDescent="0.25">
      <c r="A301" t="s">
        <v>1102</v>
      </c>
      <c r="B301" t="s">
        <v>1103</v>
      </c>
      <c r="C301" t="s">
        <v>77</v>
      </c>
      <c r="D301">
        <v>50954</v>
      </c>
      <c r="E301" t="s">
        <v>1104</v>
      </c>
      <c r="F301" t="s">
        <v>146</v>
      </c>
    </row>
    <row r="302" spans="1:6" x14ac:dyDescent="0.25">
      <c r="A302" t="s">
        <v>1105</v>
      </c>
      <c r="B302" t="s">
        <v>1106</v>
      </c>
      <c r="C302" t="s">
        <v>73</v>
      </c>
      <c r="D302">
        <v>200000</v>
      </c>
      <c r="E302" t="s">
        <v>1107</v>
      </c>
      <c r="F302" t="s">
        <v>258</v>
      </c>
    </row>
    <row r="303" spans="1:6" x14ac:dyDescent="0.25">
      <c r="A303" t="s">
        <v>1108</v>
      </c>
      <c r="B303" t="s">
        <v>1109</v>
      </c>
      <c r="C303" t="s">
        <v>478</v>
      </c>
      <c r="D303">
        <v>50942</v>
      </c>
      <c r="E303" t="s">
        <v>1110</v>
      </c>
      <c r="F303" t="s">
        <v>106</v>
      </c>
    </row>
    <row r="304" spans="1:6" x14ac:dyDescent="0.25">
      <c r="A304" t="s">
        <v>1111</v>
      </c>
      <c r="B304" t="s">
        <v>1112</v>
      </c>
      <c r="C304" t="s">
        <v>268</v>
      </c>
      <c r="D304">
        <v>50912</v>
      </c>
      <c r="E304" t="s">
        <v>1113</v>
      </c>
      <c r="F304" t="s">
        <v>111</v>
      </c>
    </row>
    <row r="305" spans="1:6" x14ac:dyDescent="0.25">
      <c r="A305" t="s">
        <v>1114</v>
      </c>
      <c r="B305" t="s">
        <v>1115</v>
      </c>
      <c r="C305" t="s">
        <v>73</v>
      </c>
      <c r="D305">
        <v>100979</v>
      </c>
      <c r="E305" t="s">
        <v>1116</v>
      </c>
      <c r="F305" t="s">
        <v>319</v>
      </c>
    </row>
    <row r="306" spans="1:6" x14ac:dyDescent="0.25">
      <c r="A306" t="s">
        <v>1117</v>
      </c>
      <c r="B306" t="s">
        <v>1118</v>
      </c>
      <c r="C306" t="s">
        <v>65</v>
      </c>
      <c r="D306">
        <v>100988</v>
      </c>
      <c r="E306" t="s">
        <v>1119</v>
      </c>
      <c r="F306" t="s">
        <v>67</v>
      </c>
    </row>
    <row r="307" spans="1:6" x14ac:dyDescent="0.25">
      <c r="A307" t="s">
        <v>1120</v>
      </c>
      <c r="B307" t="s">
        <v>1121</v>
      </c>
      <c r="C307" t="s">
        <v>73</v>
      </c>
      <c r="D307">
        <v>100951</v>
      </c>
      <c r="E307" t="s">
        <v>1122</v>
      </c>
      <c r="F307" t="s">
        <v>99</v>
      </c>
    </row>
    <row r="308" spans="1:6" x14ac:dyDescent="0.25">
      <c r="A308" t="s">
        <v>1123</v>
      </c>
      <c r="B308" t="s">
        <v>1124</v>
      </c>
      <c r="C308" t="s">
        <v>77</v>
      </c>
      <c r="D308">
        <v>50961</v>
      </c>
      <c r="E308" t="s">
        <v>1125</v>
      </c>
      <c r="F308" t="s">
        <v>266</v>
      </c>
    </row>
    <row r="309" spans="1:6" x14ac:dyDescent="0.25">
      <c r="A309" t="s">
        <v>1126</v>
      </c>
      <c r="B309" t="s">
        <v>1127</v>
      </c>
      <c r="C309" t="s">
        <v>120</v>
      </c>
      <c r="D309">
        <v>100998</v>
      </c>
      <c r="E309" t="s">
        <v>1128</v>
      </c>
      <c r="F309" t="s">
        <v>67</v>
      </c>
    </row>
    <row r="310" spans="1:6" x14ac:dyDescent="0.25">
      <c r="A310" t="s">
        <v>1129</v>
      </c>
      <c r="B310" t="s">
        <v>1130</v>
      </c>
      <c r="C310" t="s">
        <v>73</v>
      </c>
      <c r="D310">
        <v>100987</v>
      </c>
      <c r="E310" t="s">
        <v>1131</v>
      </c>
      <c r="F310" t="s">
        <v>258</v>
      </c>
    </row>
    <row r="311" spans="1:6" x14ac:dyDescent="0.25">
      <c r="A311" t="s">
        <v>1132</v>
      </c>
      <c r="B311" t="s">
        <v>1133</v>
      </c>
      <c r="C311" t="s">
        <v>77</v>
      </c>
      <c r="D311">
        <v>50986</v>
      </c>
      <c r="E311" t="s">
        <v>1134</v>
      </c>
      <c r="F311" t="s">
        <v>146</v>
      </c>
    </row>
    <row r="312" spans="1:6" x14ac:dyDescent="0.25">
      <c r="A312" t="s">
        <v>1135</v>
      </c>
      <c r="B312" t="s">
        <v>1136</v>
      </c>
      <c r="C312" t="s">
        <v>73</v>
      </c>
      <c r="D312">
        <v>50974</v>
      </c>
      <c r="E312" t="s">
        <v>1137</v>
      </c>
      <c r="F312" t="s">
        <v>266</v>
      </c>
    </row>
    <row r="313" spans="1:6" x14ac:dyDescent="0.25">
      <c r="A313" t="s">
        <v>1138</v>
      </c>
      <c r="B313" t="s">
        <v>1139</v>
      </c>
      <c r="C313" t="s">
        <v>268</v>
      </c>
      <c r="D313">
        <v>250945</v>
      </c>
      <c r="E313" t="s">
        <v>1140</v>
      </c>
      <c r="F313" t="s">
        <v>99</v>
      </c>
    </row>
    <row r="314" spans="1:6" x14ac:dyDescent="0.25">
      <c r="A314" t="s">
        <v>1141</v>
      </c>
      <c r="B314" t="s">
        <v>1142</v>
      </c>
      <c r="C314" t="s">
        <v>299</v>
      </c>
      <c r="D314">
        <v>50918</v>
      </c>
      <c r="E314" t="s">
        <v>1143</v>
      </c>
      <c r="F314" t="s">
        <v>146</v>
      </c>
    </row>
    <row r="315" spans="1:6" x14ac:dyDescent="0.25">
      <c r="A315" t="s">
        <v>1144</v>
      </c>
      <c r="B315" t="s">
        <v>1145</v>
      </c>
      <c r="C315" t="s">
        <v>73</v>
      </c>
      <c r="D315">
        <v>100941</v>
      </c>
      <c r="E315" t="s">
        <v>1146</v>
      </c>
      <c r="F315" t="s">
        <v>272</v>
      </c>
    </row>
    <row r="316" spans="1:6" x14ac:dyDescent="0.25">
      <c r="A316" t="s">
        <v>1147</v>
      </c>
      <c r="B316" t="s">
        <v>1148</v>
      </c>
      <c r="C316" t="s">
        <v>299</v>
      </c>
      <c r="D316">
        <v>50948</v>
      </c>
      <c r="E316" t="s">
        <v>1149</v>
      </c>
      <c r="F316" t="s">
        <v>272</v>
      </c>
    </row>
    <row r="317" spans="1:6" x14ac:dyDescent="0.25">
      <c r="A317" t="s">
        <v>1150</v>
      </c>
      <c r="B317" t="s">
        <v>1151</v>
      </c>
      <c r="C317" t="s">
        <v>73</v>
      </c>
      <c r="D317">
        <v>50985</v>
      </c>
      <c r="E317" t="s">
        <v>1152</v>
      </c>
      <c r="F317" t="s">
        <v>272</v>
      </c>
    </row>
    <row r="318" spans="1:6" x14ac:dyDescent="0.25">
      <c r="A318" t="s">
        <v>1153</v>
      </c>
      <c r="B318" t="s">
        <v>1154</v>
      </c>
      <c r="C318" t="s">
        <v>73</v>
      </c>
      <c r="D318">
        <v>100972</v>
      </c>
      <c r="E318" t="s">
        <v>1155</v>
      </c>
      <c r="F318" t="s">
        <v>319</v>
      </c>
    </row>
    <row r="319" spans="1:6" x14ac:dyDescent="0.25">
      <c r="A319" t="s">
        <v>1156</v>
      </c>
      <c r="B319" t="s">
        <v>1157</v>
      </c>
      <c r="C319" t="s">
        <v>268</v>
      </c>
      <c r="D319">
        <v>100980</v>
      </c>
      <c r="E319" t="s">
        <v>1158</v>
      </c>
      <c r="F319" t="s">
        <v>67</v>
      </c>
    </row>
    <row r="320" spans="1:6" x14ac:dyDescent="0.25">
      <c r="A320" t="s">
        <v>376</v>
      </c>
      <c r="B320" t="s">
        <v>1159</v>
      </c>
      <c r="C320" t="s">
        <v>268</v>
      </c>
      <c r="D320">
        <v>50945</v>
      </c>
      <c r="E320" t="s">
        <v>1160</v>
      </c>
      <c r="F320" t="s">
        <v>235</v>
      </c>
    </row>
    <row r="321" spans="1:6" x14ac:dyDescent="0.25">
      <c r="A321" t="s">
        <v>1161</v>
      </c>
      <c r="B321" t="s">
        <v>1162</v>
      </c>
      <c r="C321" t="s">
        <v>268</v>
      </c>
      <c r="D321">
        <v>100968</v>
      </c>
      <c r="E321" t="s">
        <v>1163</v>
      </c>
      <c r="F321" t="s">
        <v>106</v>
      </c>
    </row>
    <row r="322" spans="1:6" x14ac:dyDescent="0.25">
      <c r="A322" t="s">
        <v>1164</v>
      </c>
      <c r="B322" t="s">
        <v>1165</v>
      </c>
      <c r="C322" t="s">
        <v>77</v>
      </c>
      <c r="D322">
        <v>100946</v>
      </c>
      <c r="E322" t="s">
        <v>1166</v>
      </c>
      <c r="F322" t="s">
        <v>67</v>
      </c>
    </row>
    <row r="323" spans="1:6" x14ac:dyDescent="0.25">
      <c r="A323" t="s">
        <v>1167</v>
      </c>
      <c r="B323" t="s">
        <v>1168</v>
      </c>
      <c r="C323" t="s">
        <v>77</v>
      </c>
      <c r="D323">
        <v>50961</v>
      </c>
      <c r="E323" t="s">
        <v>1169</v>
      </c>
      <c r="F323" t="s">
        <v>258</v>
      </c>
    </row>
    <row r="324" spans="1:6" x14ac:dyDescent="0.25">
      <c r="A324" t="s">
        <v>90</v>
      </c>
      <c r="B324" t="s">
        <v>1170</v>
      </c>
      <c r="C324" t="s">
        <v>77</v>
      </c>
      <c r="D324">
        <v>50905</v>
      </c>
      <c r="E324" t="s">
        <v>1171</v>
      </c>
      <c r="F324" t="s">
        <v>146</v>
      </c>
    </row>
    <row r="325" spans="1:6" x14ac:dyDescent="0.25">
      <c r="A325" t="s">
        <v>196</v>
      </c>
      <c r="B325" t="s">
        <v>197</v>
      </c>
      <c r="C325" t="s">
        <v>69</v>
      </c>
      <c r="D325">
        <v>50096</v>
      </c>
      <c r="E325" t="s">
        <v>1172</v>
      </c>
      <c r="F325" t="s">
        <v>99</v>
      </c>
    </row>
    <row r="326" spans="1:6" x14ac:dyDescent="0.25">
      <c r="A326" t="s">
        <v>1173</v>
      </c>
      <c r="B326" t="s">
        <v>1174</v>
      </c>
      <c r="C326" t="s">
        <v>73</v>
      </c>
      <c r="D326">
        <v>50916</v>
      </c>
      <c r="E326" t="s">
        <v>1175</v>
      </c>
      <c r="F326" t="s">
        <v>258</v>
      </c>
    </row>
    <row r="327" spans="1:6" x14ac:dyDescent="0.25">
      <c r="A327" t="s">
        <v>90</v>
      </c>
      <c r="B327" t="s">
        <v>1176</v>
      </c>
      <c r="C327" t="s">
        <v>73</v>
      </c>
      <c r="D327">
        <v>50000</v>
      </c>
      <c r="E327" t="s">
        <v>1177</v>
      </c>
      <c r="F327" t="s">
        <v>67</v>
      </c>
    </row>
    <row r="328" spans="1:6" x14ac:dyDescent="0.25">
      <c r="A328" t="s">
        <v>1178</v>
      </c>
      <c r="B328" t="s">
        <v>1179</v>
      </c>
      <c r="C328" t="s">
        <v>77</v>
      </c>
      <c r="D328">
        <v>100902</v>
      </c>
      <c r="E328" t="s">
        <v>1180</v>
      </c>
      <c r="F328" t="s">
        <v>266</v>
      </c>
    </row>
    <row r="329" spans="1:6" x14ac:dyDescent="0.25">
      <c r="A329" t="s">
        <v>1181</v>
      </c>
      <c r="B329" t="s">
        <v>1182</v>
      </c>
      <c r="C329" t="s">
        <v>77</v>
      </c>
      <c r="D329">
        <v>100988</v>
      </c>
      <c r="E329" t="s">
        <v>1183</v>
      </c>
      <c r="F329" t="s">
        <v>67</v>
      </c>
    </row>
    <row r="330" spans="1:6" x14ac:dyDescent="0.25">
      <c r="A330" t="s">
        <v>376</v>
      </c>
      <c r="B330" t="s">
        <v>1184</v>
      </c>
      <c r="C330" t="s">
        <v>73</v>
      </c>
      <c r="D330">
        <v>100914</v>
      </c>
      <c r="E330" t="s">
        <v>1185</v>
      </c>
      <c r="F330" t="s">
        <v>111</v>
      </c>
    </row>
    <row r="331" spans="1:6" x14ac:dyDescent="0.25">
      <c r="A331" t="s">
        <v>1186</v>
      </c>
      <c r="B331" t="s">
        <v>1187</v>
      </c>
      <c r="C331" t="s">
        <v>268</v>
      </c>
      <c r="D331">
        <v>50969</v>
      </c>
      <c r="E331" t="s">
        <v>1188</v>
      </c>
      <c r="F331" t="s">
        <v>258</v>
      </c>
    </row>
    <row r="332" spans="1:6" x14ac:dyDescent="0.25">
      <c r="A332" t="s">
        <v>1189</v>
      </c>
      <c r="B332" t="s">
        <v>1190</v>
      </c>
      <c r="C332" t="s">
        <v>73</v>
      </c>
      <c r="D332">
        <v>51000</v>
      </c>
      <c r="E332" t="s">
        <v>1191</v>
      </c>
      <c r="F332" t="s">
        <v>258</v>
      </c>
    </row>
    <row r="333" spans="1:6" x14ac:dyDescent="0.25">
      <c r="A333" t="s">
        <v>1192</v>
      </c>
      <c r="B333" t="s">
        <v>1193</v>
      </c>
      <c r="C333" t="s">
        <v>268</v>
      </c>
      <c r="D333">
        <v>100971</v>
      </c>
      <c r="E333" t="s">
        <v>1194</v>
      </c>
      <c r="F333" t="s">
        <v>258</v>
      </c>
    </row>
    <row r="334" spans="1:6" x14ac:dyDescent="0.25">
      <c r="A334" t="s">
        <v>218</v>
      </c>
      <c r="B334" t="s">
        <v>219</v>
      </c>
      <c r="C334" t="s">
        <v>182</v>
      </c>
      <c r="D334">
        <v>30912</v>
      </c>
      <c r="E334" t="s">
        <v>1195</v>
      </c>
      <c r="F334" t="s">
        <v>67</v>
      </c>
    </row>
    <row r="335" spans="1:6" x14ac:dyDescent="0.25">
      <c r="A335" t="s">
        <v>90</v>
      </c>
      <c r="B335" t="s">
        <v>1196</v>
      </c>
      <c r="C335" t="s">
        <v>73</v>
      </c>
      <c r="D335">
        <v>100943</v>
      </c>
      <c r="E335" t="s">
        <v>1197</v>
      </c>
      <c r="F335" t="s">
        <v>272</v>
      </c>
    </row>
    <row r="336" spans="1:6" x14ac:dyDescent="0.25">
      <c r="A336" t="s">
        <v>1198</v>
      </c>
      <c r="B336" t="s">
        <v>1199</v>
      </c>
      <c r="C336" t="s">
        <v>268</v>
      </c>
      <c r="D336">
        <v>50901</v>
      </c>
      <c r="E336" t="s">
        <v>1200</v>
      </c>
      <c r="F336" t="s">
        <v>258</v>
      </c>
    </row>
    <row r="337" spans="1:6" x14ac:dyDescent="0.25">
      <c r="A337" t="s">
        <v>439</v>
      </c>
      <c r="B337" t="s">
        <v>1201</v>
      </c>
      <c r="C337" t="s">
        <v>73</v>
      </c>
      <c r="D337">
        <v>50000</v>
      </c>
      <c r="E337" t="s">
        <v>1202</v>
      </c>
      <c r="F337" t="s">
        <v>386</v>
      </c>
    </row>
    <row r="338" spans="1:6" x14ac:dyDescent="0.25">
      <c r="A338" t="s">
        <v>1203</v>
      </c>
      <c r="B338" t="s">
        <v>1204</v>
      </c>
      <c r="C338" t="s">
        <v>73</v>
      </c>
      <c r="D338">
        <v>100967</v>
      </c>
      <c r="E338" t="s">
        <v>1205</v>
      </c>
      <c r="F338" t="s">
        <v>67</v>
      </c>
    </row>
    <row r="339" spans="1:6" x14ac:dyDescent="0.25">
      <c r="A339" t="s">
        <v>1203</v>
      </c>
      <c r="B339" t="s">
        <v>1206</v>
      </c>
      <c r="C339" t="s">
        <v>73</v>
      </c>
      <c r="D339">
        <v>100000</v>
      </c>
      <c r="E339" t="s">
        <v>1207</v>
      </c>
      <c r="F339" t="s">
        <v>67</v>
      </c>
    </row>
    <row r="340" spans="1:6" x14ac:dyDescent="0.25">
      <c r="A340" t="s">
        <v>1208</v>
      </c>
      <c r="B340" t="s">
        <v>1209</v>
      </c>
      <c r="C340" t="s">
        <v>73</v>
      </c>
      <c r="D340">
        <v>150985</v>
      </c>
      <c r="E340" t="s">
        <v>1210</v>
      </c>
      <c r="F340" t="s">
        <v>319</v>
      </c>
    </row>
    <row r="341" spans="1:6" x14ac:dyDescent="0.25">
      <c r="A341" t="s">
        <v>1211</v>
      </c>
      <c r="B341" t="s">
        <v>1212</v>
      </c>
      <c r="C341" t="s">
        <v>73</v>
      </c>
      <c r="D341">
        <v>100983</v>
      </c>
      <c r="E341" t="s">
        <v>1213</v>
      </c>
      <c r="F341" t="s">
        <v>106</v>
      </c>
    </row>
    <row r="342" spans="1:6" x14ac:dyDescent="0.25">
      <c r="A342" t="s">
        <v>1214</v>
      </c>
      <c r="B342" t="s">
        <v>1215</v>
      </c>
      <c r="C342" t="s">
        <v>73</v>
      </c>
      <c r="D342">
        <v>100972</v>
      </c>
      <c r="E342" t="s">
        <v>804</v>
      </c>
      <c r="F342" t="s">
        <v>79</v>
      </c>
    </row>
    <row r="343" spans="1:6" x14ac:dyDescent="0.25">
      <c r="A343" t="s">
        <v>1216</v>
      </c>
      <c r="B343" t="s">
        <v>1217</v>
      </c>
      <c r="C343" t="s">
        <v>268</v>
      </c>
      <c r="D343">
        <v>100909</v>
      </c>
      <c r="E343" t="s">
        <v>1218</v>
      </c>
      <c r="F343" t="s">
        <v>111</v>
      </c>
    </row>
    <row r="344" spans="1:6" x14ac:dyDescent="0.25">
      <c r="A344" t="s">
        <v>1219</v>
      </c>
      <c r="B344" t="s">
        <v>1220</v>
      </c>
      <c r="C344" t="s">
        <v>77</v>
      </c>
      <c r="D344">
        <v>50944</v>
      </c>
      <c r="E344" t="s">
        <v>1221</v>
      </c>
      <c r="F344" t="s">
        <v>67</v>
      </c>
    </row>
    <row r="345" spans="1:6" x14ac:dyDescent="0.25">
      <c r="A345" t="s">
        <v>222</v>
      </c>
      <c r="B345" t="s">
        <v>1222</v>
      </c>
      <c r="C345" t="s">
        <v>73</v>
      </c>
      <c r="D345">
        <v>50983</v>
      </c>
      <c r="E345" t="s">
        <v>1223</v>
      </c>
      <c r="F345" t="s">
        <v>99</v>
      </c>
    </row>
    <row r="346" spans="1:6" x14ac:dyDescent="0.25">
      <c r="A346" t="s">
        <v>1224</v>
      </c>
      <c r="B346" t="s">
        <v>1225</v>
      </c>
      <c r="C346" t="s">
        <v>65</v>
      </c>
      <c r="D346">
        <v>25995</v>
      </c>
      <c r="E346" t="s">
        <v>1226</v>
      </c>
      <c r="F346" t="s">
        <v>319</v>
      </c>
    </row>
    <row r="347" spans="1:6" x14ac:dyDescent="0.25">
      <c r="A347" t="s">
        <v>1227</v>
      </c>
      <c r="B347" t="s">
        <v>1228</v>
      </c>
      <c r="C347" t="s">
        <v>77</v>
      </c>
      <c r="D347">
        <v>100972</v>
      </c>
      <c r="E347" t="s">
        <v>1229</v>
      </c>
      <c r="F347" t="s">
        <v>386</v>
      </c>
    </row>
    <row r="348" spans="1:6" x14ac:dyDescent="0.25">
      <c r="A348" t="s">
        <v>1230</v>
      </c>
      <c r="B348" t="s">
        <v>1231</v>
      </c>
      <c r="C348" t="s">
        <v>984</v>
      </c>
      <c r="D348">
        <v>50127</v>
      </c>
      <c r="E348" t="s">
        <v>1232</v>
      </c>
      <c r="F348" t="s">
        <v>111</v>
      </c>
    </row>
    <row r="349" spans="1:6" x14ac:dyDescent="0.25">
      <c r="A349" t="s">
        <v>1233</v>
      </c>
      <c r="B349" t="s">
        <v>1234</v>
      </c>
      <c r="C349" t="s">
        <v>299</v>
      </c>
      <c r="D349">
        <v>50977</v>
      </c>
      <c r="E349" t="s">
        <v>1235</v>
      </c>
      <c r="F349" t="s">
        <v>235</v>
      </c>
    </row>
    <row r="350" spans="1:6" x14ac:dyDescent="0.25">
      <c r="A350" t="s">
        <v>90</v>
      </c>
      <c r="B350" t="s">
        <v>1236</v>
      </c>
      <c r="C350" t="s">
        <v>1237</v>
      </c>
      <c r="D350">
        <v>50917</v>
      </c>
      <c r="E350" t="s">
        <v>1238</v>
      </c>
      <c r="F350" t="s">
        <v>67</v>
      </c>
    </row>
    <row r="351" spans="1:6" x14ac:dyDescent="0.25">
      <c r="A351" t="s">
        <v>1239</v>
      </c>
      <c r="B351" t="s">
        <v>1240</v>
      </c>
      <c r="C351" t="s">
        <v>77</v>
      </c>
      <c r="D351">
        <v>100917</v>
      </c>
      <c r="E351" t="s">
        <v>1241</v>
      </c>
      <c r="F351" t="s">
        <v>258</v>
      </c>
    </row>
    <row r="352" spans="1:6" x14ac:dyDescent="0.25">
      <c r="A352" t="s">
        <v>1242</v>
      </c>
      <c r="B352" t="s">
        <v>1243</v>
      </c>
      <c r="C352" t="s">
        <v>65</v>
      </c>
      <c r="D352">
        <v>10948</v>
      </c>
      <c r="E352" t="s">
        <v>1244</v>
      </c>
      <c r="F352" t="s">
        <v>379</v>
      </c>
    </row>
    <row r="353" spans="1:6" x14ac:dyDescent="0.25">
      <c r="A353" t="s">
        <v>1245</v>
      </c>
      <c r="B353" t="s">
        <v>1246</v>
      </c>
      <c r="C353" t="s">
        <v>73</v>
      </c>
      <c r="D353">
        <v>100942</v>
      </c>
      <c r="E353" t="s">
        <v>1247</v>
      </c>
      <c r="F353" t="s">
        <v>111</v>
      </c>
    </row>
    <row r="354" spans="1:6" x14ac:dyDescent="0.25">
      <c r="A354" t="s">
        <v>1248</v>
      </c>
      <c r="B354" t="s">
        <v>1249</v>
      </c>
      <c r="C354" t="s">
        <v>73</v>
      </c>
      <c r="D354">
        <v>100922</v>
      </c>
      <c r="E354" t="s">
        <v>1250</v>
      </c>
      <c r="F354" t="s">
        <v>111</v>
      </c>
    </row>
    <row r="355" spans="1:6" x14ac:dyDescent="0.25">
      <c r="A355" t="s">
        <v>90</v>
      </c>
      <c r="B355" t="s">
        <v>1251</v>
      </c>
      <c r="C355" t="s">
        <v>77</v>
      </c>
      <c r="D355">
        <v>100963</v>
      </c>
      <c r="E355" t="s">
        <v>1252</v>
      </c>
      <c r="F355" t="s">
        <v>266</v>
      </c>
    </row>
    <row r="356" spans="1:6" x14ac:dyDescent="0.25">
      <c r="A356" t="s">
        <v>1253</v>
      </c>
      <c r="B356" t="s">
        <v>1254</v>
      </c>
      <c r="C356" t="s">
        <v>1237</v>
      </c>
      <c r="D356">
        <v>50919</v>
      </c>
      <c r="E356" t="s">
        <v>1255</v>
      </c>
      <c r="F356" t="s">
        <v>235</v>
      </c>
    </row>
    <row r="357" spans="1:6" x14ac:dyDescent="0.25">
      <c r="A357" t="s">
        <v>1256</v>
      </c>
      <c r="B357" t="s">
        <v>1257</v>
      </c>
      <c r="C357" t="s">
        <v>73</v>
      </c>
      <c r="D357">
        <v>100952</v>
      </c>
      <c r="E357" t="s">
        <v>1258</v>
      </c>
      <c r="F357" t="s">
        <v>106</v>
      </c>
    </row>
    <row r="358" spans="1:6" x14ac:dyDescent="0.25">
      <c r="A358" t="s">
        <v>1259</v>
      </c>
      <c r="B358" t="s">
        <v>1260</v>
      </c>
      <c r="C358" t="s">
        <v>268</v>
      </c>
      <c r="D358">
        <v>50918</v>
      </c>
      <c r="E358" t="s">
        <v>1261</v>
      </c>
      <c r="F358" t="s">
        <v>272</v>
      </c>
    </row>
    <row r="359" spans="1:6" x14ac:dyDescent="0.25">
      <c r="A359" t="s">
        <v>1262</v>
      </c>
      <c r="B359" t="s">
        <v>1263</v>
      </c>
      <c r="C359" t="s">
        <v>73</v>
      </c>
      <c r="D359">
        <v>100981</v>
      </c>
      <c r="E359" t="s">
        <v>1264</v>
      </c>
      <c r="F359" t="s">
        <v>106</v>
      </c>
    </row>
    <row r="360" spans="1:6" x14ac:dyDescent="0.25">
      <c r="A360" t="s">
        <v>1265</v>
      </c>
      <c r="B360" t="s">
        <v>1266</v>
      </c>
      <c r="C360" t="s">
        <v>73</v>
      </c>
      <c r="D360">
        <v>50996</v>
      </c>
      <c r="E360" t="s">
        <v>1267</v>
      </c>
      <c r="F360" t="s">
        <v>379</v>
      </c>
    </row>
    <row r="361" spans="1:6" x14ac:dyDescent="0.25">
      <c r="A361" t="s">
        <v>1268</v>
      </c>
      <c r="B361" t="s">
        <v>1269</v>
      </c>
      <c r="C361" t="s">
        <v>77</v>
      </c>
      <c r="D361">
        <v>100969</v>
      </c>
      <c r="E361" t="s">
        <v>1270</v>
      </c>
      <c r="F361" t="s">
        <v>235</v>
      </c>
    </row>
    <row r="362" spans="1:6" x14ac:dyDescent="0.25">
      <c r="A362" t="s">
        <v>1271</v>
      </c>
      <c r="B362" t="s">
        <v>1272</v>
      </c>
      <c r="C362" t="s">
        <v>77</v>
      </c>
      <c r="D362">
        <v>50927</v>
      </c>
      <c r="E362" t="s">
        <v>1273</v>
      </c>
      <c r="F362" t="s">
        <v>106</v>
      </c>
    </row>
    <row r="363" spans="1:6" x14ac:dyDescent="0.25">
      <c r="A363" t="s">
        <v>90</v>
      </c>
      <c r="B363" t="s">
        <v>1274</v>
      </c>
      <c r="C363" t="s">
        <v>268</v>
      </c>
      <c r="D363">
        <v>100994</v>
      </c>
      <c r="E363" t="s">
        <v>1275</v>
      </c>
      <c r="F363" t="s">
        <v>266</v>
      </c>
    </row>
    <row r="364" spans="1:6" x14ac:dyDescent="0.25">
      <c r="A364" t="s">
        <v>1276</v>
      </c>
      <c r="B364" t="s">
        <v>1277</v>
      </c>
      <c r="C364" t="s">
        <v>77</v>
      </c>
      <c r="D364">
        <v>250000</v>
      </c>
      <c r="E364" t="s">
        <v>1278</v>
      </c>
      <c r="F364" t="s">
        <v>67</v>
      </c>
    </row>
    <row r="365" spans="1:6" x14ac:dyDescent="0.25">
      <c r="A365" t="s">
        <v>242</v>
      </c>
      <c r="B365" t="s">
        <v>243</v>
      </c>
      <c r="C365" t="s">
        <v>65</v>
      </c>
      <c r="D365">
        <v>20965</v>
      </c>
      <c r="E365" t="s">
        <v>1279</v>
      </c>
      <c r="F365" t="s">
        <v>235</v>
      </c>
    </row>
    <row r="366" spans="1:6" x14ac:dyDescent="0.25">
      <c r="A366" t="s">
        <v>1280</v>
      </c>
      <c r="B366" t="s">
        <v>1281</v>
      </c>
      <c r="C366" t="s">
        <v>77</v>
      </c>
      <c r="D366">
        <v>200991</v>
      </c>
      <c r="E366" t="s">
        <v>1282</v>
      </c>
      <c r="F366" t="s">
        <v>106</v>
      </c>
    </row>
    <row r="367" spans="1:6" x14ac:dyDescent="0.25">
      <c r="A367" t="s">
        <v>90</v>
      </c>
      <c r="B367" t="s">
        <v>1283</v>
      </c>
      <c r="C367" t="s">
        <v>77</v>
      </c>
      <c r="D367">
        <v>50981</v>
      </c>
      <c r="E367" t="s">
        <v>1284</v>
      </c>
      <c r="F367" t="s">
        <v>235</v>
      </c>
    </row>
    <row r="368" spans="1:6" x14ac:dyDescent="0.25">
      <c r="A368" t="s">
        <v>1285</v>
      </c>
      <c r="B368" t="s">
        <v>1286</v>
      </c>
      <c r="C368" t="s">
        <v>73</v>
      </c>
      <c r="D368">
        <v>250963</v>
      </c>
      <c r="E368" t="s">
        <v>566</v>
      </c>
      <c r="F368" t="s">
        <v>79</v>
      </c>
    </row>
    <row r="369" spans="1:6" x14ac:dyDescent="0.25">
      <c r="A369" t="s">
        <v>222</v>
      </c>
      <c r="B369" t="s">
        <v>1287</v>
      </c>
      <c r="C369" t="s">
        <v>77</v>
      </c>
      <c r="D369">
        <v>100901</v>
      </c>
      <c r="E369" t="s">
        <v>1288</v>
      </c>
      <c r="F369" t="s">
        <v>67</v>
      </c>
    </row>
    <row r="370" spans="1:6" x14ac:dyDescent="0.25">
      <c r="A370" t="s">
        <v>1289</v>
      </c>
      <c r="B370" t="s">
        <v>1290</v>
      </c>
      <c r="C370" t="s">
        <v>77</v>
      </c>
      <c r="D370">
        <v>50968</v>
      </c>
      <c r="E370" t="s">
        <v>1291</v>
      </c>
      <c r="F370" t="s">
        <v>266</v>
      </c>
    </row>
    <row r="371" spans="1:6" x14ac:dyDescent="0.25">
      <c r="A371" t="s">
        <v>1292</v>
      </c>
      <c r="B371" t="s">
        <v>1293</v>
      </c>
      <c r="C371" t="s">
        <v>77</v>
      </c>
      <c r="D371">
        <v>100921</v>
      </c>
      <c r="E371" t="s">
        <v>1294</v>
      </c>
      <c r="F371" t="s">
        <v>235</v>
      </c>
    </row>
    <row r="372" spans="1:6" x14ac:dyDescent="0.25">
      <c r="A372" t="s">
        <v>1295</v>
      </c>
      <c r="B372" t="s">
        <v>1296</v>
      </c>
      <c r="C372" t="s">
        <v>73</v>
      </c>
      <c r="D372">
        <v>100965</v>
      </c>
      <c r="E372" t="s">
        <v>1297</v>
      </c>
      <c r="F372" t="s">
        <v>146</v>
      </c>
    </row>
    <row r="373" spans="1:6" x14ac:dyDescent="0.25">
      <c r="A373" t="s">
        <v>1298</v>
      </c>
      <c r="B373" t="s">
        <v>1299</v>
      </c>
      <c r="C373" t="s">
        <v>77</v>
      </c>
      <c r="D373">
        <v>100991</v>
      </c>
      <c r="E373" t="s">
        <v>1300</v>
      </c>
      <c r="F373" t="s">
        <v>146</v>
      </c>
    </row>
    <row r="374" spans="1:6" x14ac:dyDescent="0.25">
      <c r="A374" t="s">
        <v>1301</v>
      </c>
      <c r="B374" t="s">
        <v>1302</v>
      </c>
      <c r="C374" t="s">
        <v>73</v>
      </c>
      <c r="D374">
        <v>100945</v>
      </c>
      <c r="E374" t="s">
        <v>1303</v>
      </c>
      <c r="F374" t="s">
        <v>272</v>
      </c>
    </row>
    <row r="375" spans="1:6" x14ac:dyDescent="0.25">
      <c r="A375" t="s">
        <v>1304</v>
      </c>
      <c r="B375" t="s">
        <v>1305</v>
      </c>
      <c r="C375" t="s">
        <v>268</v>
      </c>
      <c r="D375">
        <v>100981</v>
      </c>
      <c r="E375" t="s">
        <v>1306</v>
      </c>
      <c r="F375" t="s">
        <v>235</v>
      </c>
    </row>
    <row r="376" spans="1:6" x14ac:dyDescent="0.25">
      <c r="A376" t="s">
        <v>90</v>
      </c>
      <c r="B376" t="s">
        <v>1307</v>
      </c>
      <c r="C376" t="s">
        <v>77</v>
      </c>
      <c r="D376">
        <v>50921</v>
      </c>
      <c r="E376" t="s">
        <v>1308</v>
      </c>
      <c r="F376" t="s">
        <v>99</v>
      </c>
    </row>
    <row r="377" spans="1:6" x14ac:dyDescent="0.25">
      <c r="A377" t="s">
        <v>1309</v>
      </c>
      <c r="B377" t="s">
        <v>1310</v>
      </c>
      <c r="C377" t="s">
        <v>77</v>
      </c>
      <c r="D377">
        <v>50960</v>
      </c>
      <c r="E377" t="s">
        <v>1311</v>
      </c>
      <c r="F377" t="s">
        <v>258</v>
      </c>
    </row>
    <row r="378" spans="1:6" x14ac:dyDescent="0.25">
      <c r="A378" t="s">
        <v>1312</v>
      </c>
      <c r="B378" t="s">
        <v>1313</v>
      </c>
      <c r="C378" t="s">
        <v>65</v>
      </c>
      <c r="D378">
        <v>50902</v>
      </c>
      <c r="E378" t="s">
        <v>1314</v>
      </c>
      <c r="F378" t="s">
        <v>258</v>
      </c>
    </row>
    <row r="379" spans="1:6" x14ac:dyDescent="0.25">
      <c r="A379" t="s">
        <v>90</v>
      </c>
      <c r="B379" t="s">
        <v>1315</v>
      </c>
      <c r="C379" t="s">
        <v>73</v>
      </c>
      <c r="D379">
        <v>50971</v>
      </c>
      <c r="E379" t="s">
        <v>1316</v>
      </c>
      <c r="F379" t="s">
        <v>272</v>
      </c>
    </row>
    <row r="380" spans="1:6" x14ac:dyDescent="0.25">
      <c r="A380" t="s">
        <v>1317</v>
      </c>
      <c r="B380" t="s">
        <v>1318</v>
      </c>
      <c r="C380" t="s">
        <v>77</v>
      </c>
      <c r="D380">
        <v>100960</v>
      </c>
      <c r="E380" t="s">
        <v>1319</v>
      </c>
      <c r="F380" t="s">
        <v>235</v>
      </c>
    </row>
    <row r="381" spans="1:6" x14ac:dyDescent="0.25">
      <c r="A381" t="s">
        <v>1320</v>
      </c>
      <c r="B381" t="s">
        <v>1321</v>
      </c>
      <c r="C381" t="s">
        <v>73</v>
      </c>
      <c r="D381">
        <v>100951</v>
      </c>
      <c r="E381" t="s">
        <v>1322</v>
      </c>
      <c r="F381" t="s">
        <v>258</v>
      </c>
    </row>
    <row r="382" spans="1:6" x14ac:dyDescent="0.25">
      <c r="A382" t="s">
        <v>1323</v>
      </c>
      <c r="B382" t="s">
        <v>1324</v>
      </c>
      <c r="C382" t="s">
        <v>77</v>
      </c>
      <c r="D382">
        <v>250940</v>
      </c>
      <c r="E382" t="s">
        <v>1325</v>
      </c>
      <c r="F382" t="s">
        <v>99</v>
      </c>
    </row>
    <row r="383" spans="1:6" x14ac:dyDescent="0.25">
      <c r="A383" t="s">
        <v>1326</v>
      </c>
      <c r="B383" t="s">
        <v>1327</v>
      </c>
      <c r="C383" t="s">
        <v>73</v>
      </c>
      <c r="D383">
        <v>100986</v>
      </c>
      <c r="E383" t="s">
        <v>1328</v>
      </c>
      <c r="F383" t="s">
        <v>258</v>
      </c>
    </row>
    <row r="384" spans="1:6" x14ac:dyDescent="0.25">
      <c r="A384" t="s">
        <v>1329</v>
      </c>
      <c r="B384" t="s">
        <v>1330</v>
      </c>
      <c r="C384" t="s">
        <v>69</v>
      </c>
      <c r="D384">
        <v>30093</v>
      </c>
      <c r="E384" t="s">
        <v>1331</v>
      </c>
      <c r="F384" t="s">
        <v>106</v>
      </c>
    </row>
    <row r="385" spans="1:6" x14ac:dyDescent="0.25">
      <c r="A385" t="s">
        <v>1332</v>
      </c>
      <c r="B385" t="s">
        <v>1333</v>
      </c>
      <c r="C385" t="s">
        <v>73</v>
      </c>
      <c r="D385">
        <v>100942</v>
      </c>
      <c r="E385" t="s">
        <v>1334</v>
      </c>
      <c r="F385" t="s">
        <v>111</v>
      </c>
    </row>
    <row r="386" spans="1:6" x14ac:dyDescent="0.25">
      <c r="A386" t="s">
        <v>1335</v>
      </c>
      <c r="B386" t="s">
        <v>1336</v>
      </c>
      <c r="C386" t="s">
        <v>77</v>
      </c>
      <c r="D386">
        <v>50907</v>
      </c>
      <c r="E386" t="s">
        <v>1191</v>
      </c>
      <c r="F386" t="s">
        <v>146</v>
      </c>
    </row>
    <row r="387" spans="1:6" x14ac:dyDescent="0.25">
      <c r="A387" t="s">
        <v>1337</v>
      </c>
      <c r="B387" t="s">
        <v>1338</v>
      </c>
      <c r="C387" t="s">
        <v>268</v>
      </c>
      <c r="D387">
        <v>50909</v>
      </c>
      <c r="E387" t="s">
        <v>1339</v>
      </c>
      <c r="F387" t="s">
        <v>99</v>
      </c>
    </row>
    <row r="388" spans="1:6" x14ac:dyDescent="0.25">
      <c r="A388" t="s">
        <v>1340</v>
      </c>
      <c r="B388" t="s">
        <v>1341</v>
      </c>
      <c r="C388" t="s">
        <v>73</v>
      </c>
      <c r="D388">
        <v>100943</v>
      </c>
      <c r="E388" t="s">
        <v>1342</v>
      </c>
      <c r="F388" t="s">
        <v>111</v>
      </c>
    </row>
    <row r="389" spans="1:6" x14ac:dyDescent="0.25">
      <c r="A389" t="s">
        <v>1343</v>
      </c>
      <c r="B389" t="s">
        <v>1344</v>
      </c>
      <c r="C389" t="s">
        <v>73</v>
      </c>
      <c r="D389">
        <v>100963</v>
      </c>
      <c r="E389" t="s">
        <v>1345</v>
      </c>
      <c r="F389" t="s">
        <v>235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>
      <selection activeCell="O31" sqref="O31"/>
    </sheetView>
  </sheetViews>
  <sheetFormatPr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>
      <selection activeCell="Q31" sqref="Q31"/>
    </sheetView>
  </sheetViews>
  <sheetFormatPr defaultRowHeight="15" x14ac:dyDescent="0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"/>
  <sheetViews>
    <sheetView workbookViewId="0">
      <selection activeCell="Q17" sqref="Q17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Tracking donatur 2024</vt:lpstr>
      <vt:lpstr>Tracking donatur 2025</vt:lpstr>
      <vt:lpstr>Via CS</vt:lpstr>
      <vt:lpstr>All Data siagapeduli.com 2023</vt:lpstr>
      <vt:lpstr>Januari</vt:lpstr>
      <vt:lpstr>Februari</vt:lpstr>
      <vt:lpstr>Maret</vt:lpstr>
      <vt:lpstr>April</vt:lpstr>
      <vt:lpstr>Mei</vt:lpstr>
      <vt:lpstr>Juni</vt:lpstr>
      <vt:lpstr>Juli</vt:lpstr>
      <vt:lpstr>Agustus</vt:lpstr>
      <vt:lpstr>September</vt:lpstr>
      <vt:lpstr>Oktober</vt:lpstr>
      <vt:lpstr>November</vt:lpstr>
      <vt:lpstr>Desember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2022-06-13T23:01:14Z</dcterms:created>
  <dcterms:modified xsi:type="dcterms:W3CDTF">2025-05-20T04:22:39Z</dcterms:modified>
</cp:coreProperties>
</file>