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new\"/>
    </mc:Choice>
  </mc:AlternateContent>
  <xr:revisionPtr revIDLastSave="0" documentId="13_ncr:1_{1ED3AF09-B75A-4A37-95D4-A7242ACCFC64}" xr6:coauthVersionLast="47" xr6:coauthVersionMax="47" xr10:uidLastSave="{00000000-0000-0000-0000-000000000000}"/>
  <bookViews>
    <workbookView xWindow="-120" yWindow="330" windowWidth="20730" windowHeight="11310" xr2:uid="{E6A3E62E-5D66-4B50-9BD7-84073BFF055E}"/>
  </bookViews>
  <sheets>
    <sheet name="Rekap_himpunan" sheetId="1" r:id="rId1"/>
    <sheet name="TOTAL REKAP NOV 1097" sheetId="2" r:id="rId2"/>
  </sheets>
  <definedNames>
    <definedName name="_xlnm._FilterDatabase" localSheetId="0" hidden="1">#REF!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</calcChain>
</file>

<file path=xl/sharedStrings.xml><?xml version="1.0" encoding="utf-8"?>
<sst xmlns="http://schemas.openxmlformats.org/spreadsheetml/2006/main" count="131" uniqueCount="65">
  <si>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</si>
  <si>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</si>
  <si>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</si>
  <si>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</si>
  <si>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</si>
  <si>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</si>
  <si>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</si>
  <si>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</si>
  <si>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</si>
  <si>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 xml:space="preserve">Mandiri (CS) 1410029052222 </t>
  </si>
  <si>
    <t>BRI (CS) 115901000648567</t>
  </si>
  <si>
    <t>Mandiri (Ads) 1410000665448</t>
  </si>
  <si>
    <t xml:space="preserve">MANDIRI </t>
  </si>
  <si>
    <t>BSI (CS) 7316126698</t>
  </si>
  <si>
    <t>BNI (Ads) 3003003257</t>
  </si>
  <si>
    <t>BNI (CS) 5005003227</t>
  </si>
  <si>
    <t xml:space="preserve">BSI (Ads) 7772526274 </t>
  </si>
  <si>
    <t xml:space="preserve">BNI </t>
  </si>
  <si>
    <t>BNI (Ads(3003003257</t>
  </si>
  <si>
    <t>BRI (Ads) 115901000647561</t>
  </si>
  <si>
    <t>BSI</t>
  </si>
  <si>
    <t>BRI</t>
  </si>
  <si>
    <t>Agus Riadi</t>
  </si>
  <si>
    <t>10/29/2025</t>
  </si>
  <si>
    <t>Sri Lestari</t>
  </si>
  <si>
    <t xml:space="preserve">Ahmad Yudiman </t>
  </si>
  <si>
    <t>Row Labels</t>
  </si>
  <si>
    <t>(blank)</t>
  </si>
  <si>
    <t>Grand Total</t>
  </si>
  <si>
    <t>Column Labels</t>
  </si>
  <si>
    <t>Sum of Total</t>
  </si>
  <si>
    <t>Total Sum of Total</t>
  </si>
  <si>
    <t>Total Count of No</t>
  </si>
  <si>
    <t>Count of No</t>
  </si>
  <si>
    <t>Muhammad Naim Muzaki</t>
  </si>
  <si>
    <t>Febriliana</t>
  </si>
  <si>
    <t>10/30/2025</t>
  </si>
  <si>
    <t>Nurul Aini</t>
  </si>
  <si>
    <t>Lorinda Rosalina</t>
  </si>
  <si>
    <t>Indah Arianti</t>
  </si>
  <si>
    <t>Taufan Husni Mubarrak</t>
  </si>
  <si>
    <t>Jajang Kurnia</t>
  </si>
  <si>
    <t>Satriana Matondang</t>
  </si>
  <si>
    <t>Hasliati</t>
  </si>
  <si>
    <t>Umi Widiyastuti</t>
  </si>
  <si>
    <t>Ismail</t>
  </si>
  <si>
    <t>Suhendra</t>
  </si>
  <si>
    <t>Fatuhurrohman</t>
  </si>
  <si>
    <t>Nining Munawaroh</t>
  </si>
  <si>
    <t>Rusli</t>
  </si>
  <si>
    <t>11/14/2025</t>
  </si>
  <si>
    <t>M Artoni</t>
  </si>
  <si>
    <t>Moh Sholichin</t>
  </si>
  <si>
    <t>11/15/2025</t>
  </si>
  <si>
    <t>Anthony Wijaya</t>
  </si>
  <si>
    <t>11/18/2025</t>
  </si>
  <si>
    <t>Ayu Wulansari</t>
  </si>
  <si>
    <t>Desi Asriyani</t>
  </si>
  <si>
    <t>11/21/2025</t>
  </si>
  <si>
    <t>Sabaruddin</t>
  </si>
  <si>
    <t>Dian A</t>
  </si>
  <si>
    <t>Fatihurrohman</t>
  </si>
  <si>
    <t>11/24/2025</t>
  </si>
  <si>
    <t xml:space="preserve">Firman Arbi </t>
  </si>
  <si>
    <t>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</si>
</sst>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14" fontId="0" fillId="0" borderId="0" xfId="0" applyNumberFormat="1"/>
    <xf numFmtId="42" fontId="0" fillId="0" borderId="0" xfId="1" applyFont="1" applyFill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0" fontId="0" fillId="0" borderId="0" xfId="0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42" fontId="0" fillId="0" borderId="2" xfId="1" applyFont="1" applyFill="1" applyBorder="1"/>
    <xf numFmtId="14" fontId="0" fillId="0" borderId="2" xfId="0" applyNumberFormat="1" applyBorder="1" applyAlignment="1">
      <alignment horizontal="center"/>
    </xf>
    <xf numFmtId="42" fontId="0" fillId="0" borderId="0" xfId="0" applyNumberFormat="1" applyAlignment="1">
      <alignment horizontal="left"/>
    </xf>
    <xf numFmtId="42" fontId="0" fillId="0" borderId="0" xfId="1" applyFont="1"/>
    <xf numFmtId="1" fontId="0" fillId="0" borderId="0" xfId="0" applyNumberFormat="1" applyAlignment="1">
      <alignment horizontal="center" vertical="center"/>
    </xf>
    <xf numFmtId="42" fontId="0" fillId="0" borderId="0" xfId="0" applyNumberFormat="1"/>
    <xf numFmtId="42" fontId="0" fillId="0" borderId="0" xfId="1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14"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numFmt numFmtId="164" formatCode="&quot;Rp&quot;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6.556114814812" createdVersion="8" refreshedVersion="8" minRefreshableVersion="3" recordCount="30" xr:uid="{91696351-1F50-4288-8CF3-29025E75A663}">
  <cacheSource type="worksheet">
    <worksheetSource ref="A1:H1048576" sheet="Rekap_himpunan"/>
  </cacheSource>
  <cacheFields count="8">
    <cacheField name="No" numFmtId="0">
      <sharedItems containsString="0" containsBlank="1" containsNumber="1" containsInteger="1" minValue="1" maxValue="29"/>
    </cacheField>
    <cacheField name="Donatur" numFmtId="0">
      <sharedItems containsBlank="1"/>
    </cacheField>
    <cacheField name="Whatsapp" numFmtId="1">
      <sharedItems containsString="0" containsBlank="1" containsNumber="1" containsInteger="1" minValue="628137524311" maxValue="6285390416000"/>
    </cacheField>
    <cacheField name="Payment Account" numFmtId="0">
      <sharedItems containsBlank="1"/>
    </cacheField>
    <cacheField name="Date Blast" numFmtId="0">
      <sharedItems containsDate="1" containsBlank="1" containsMixedTypes="1" minDate="2025-01-11T00:00:00" maxDate="2025-12-12T00:00:00" count="13">
        <s v="10/29/2025"/>
        <d v="2025-01-11T00:00:00"/>
        <d v="2025-03-11T00:00:00"/>
        <s v="10/30/2025"/>
        <d v="2025-06-11T00:00:00"/>
        <d v="2025-07-11T00:00:00"/>
        <d v="2025-12-11T00:00:00"/>
        <s v="11/14/2025"/>
        <s v="11/15/2025"/>
        <s v="11/18/2025"/>
        <s v="11/21/2025"/>
        <s v="11/17/2025"/>
        <m/>
      </sharedItems>
    </cacheField>
    <cacheField name="Date" numFmtId="14">
      <sharedItems containsDate="1" containsBlank="1" containsMixedTypes="1" minDate="2025-01-11T00:00:00" maxDate="2025-12-12T00:00:00"/>
    </cacheField>
    <cacheField name="Nomor CS" numFmtId="1">
      <sharedItems containsString="0" containsBlank="1" containsNumber="1" containsInteger="1" minValue="1050000" maxValue="6287851627778" count="4">
        <n v="6285119990038"/>
        <m/>
        <n v="6287851627778" u="1"/>
        <n v="1050000" u="1"/>
      </sharedItems>
    </cacheField>
    <cacheField name="Total" numFmtId="42">
      <sharedItems containsString="0" containsBlank="1" containsNumber="1" containsInteger="1" minValue="30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gus Riadi"/>
    <n v="6282255941217"/>
    <s v="BNI (CS) 5005003227"/>
    <x v="0"/>
    <s v="10/29/2025"/>
    <x v="0"/>
    <n v="50000"/>
  </r>
  <r>
    <n v="2"/>
    <s v="Sri Lestari"/>
    <n v="6285297062206"/>
    <s v="Mandiri (CS) 1410029052222 "/>
    <x v="1"/>
    <d v="2025-01-11T00:00:00"/>
    <x v="0"/>
    <n v="30000"/>
  </r>
  <r>
    <n v="3"/>
    <s v="Ahmad Yudiman "/>
    <n v="6281213994843"/>
    <s v="Mandiri (CS) 1410029052222 "/>
    <x v="2"/>
    <d v="2025-03-11T00:00:00"/>
    <x v="0"/>
    <n v="100000"/>
  </r>
  <r>
    <n v="4"/>
    <s v="Muhammad Naim Muzaki"/>
    <n v="6285347671470"/>
    <s v="BNI (CS) 5005003227"/>
    <x v="3"/>
    <d v="2025-04-11T00:00:00"/>
    <x v="0"/>
    <n v="100000"/>
  </r>
  <r>
    <n v="5"/>
    <s v="Febriliana"/>
    <n v="6282268913756"/>
    <s v="BRI (CS) 115901000648567"/>
    <x v="4"/>
    <d v="2025-06-11T00:00:00"/>
    <x v="0"/>
    <n v="50000"/>
  </r>
  <r>
    <n v="6"/>
    <s v="Nurul Aini"/>
    <n v="6281380350875"/>
    <s v="BRI (CS) 115901000648567"/>
    <x v="5"/>
    <d v="2025-07-11T00:00:00"/>
    <x v="0"/>
    <n v="100000"/>
  </r>
  <r>
    <n v="7"/>
    <s v="Lorinda Rosalina"/>
    <n v="6281376448936"/>
    <s v="Mandiri (CS) 1410029052222 "/>
    <x v="5"/>
    <d v="2025-07-11T00:00:00"/>
    <x v="0"/>
    <n v="200000"/>
  </r>
  <r>
    <n v="8"/>
    <s v="Indah Arianti"/>
    <n v="6282284481994"/>
    <s v="BRI (CS) 115901000648567"/>
    <x v="5"/>
    <d v="2025-07-11T00:00:00"/>
    <x v="0"/>
    <n v="100000"/>
  </r>
  <r>
    <n v="9"/>
    <s v="Taufan Husni Mubarrak"/>
    <n v="6282158224455"/>
    <s v="Mandiri (CS) 1410029052222 "/>
    <x v="5"/>
    <d v="2025-07-11T00:00:00"/>
    <x v="0"/>
    <n v="50000"/>
  </r>
  <r>
    <n v="10"/>
    <s v="Jajang Kurnia"/>
    <n v="6281220196396"/>
    <s v="BNI (CS) 5005003227"/>
    <x v="5"/>
    <d v="2025-07-11T00:00:00"/>
    <x v="0"/>
    <n v="150000"/>
  </r>
  <r>
    <n v="11"/>
    <s v="Satriana Matondang"/>
    <n v="628137524311"/>
    <s v="BNI (CS) 5005003227"/>
    <x v="5"/>
    <d v="2025-07-11T00:00:00"/>
    <x v="0"/>
    <n v="100000"/>
  </r>
  <r>
    <n v="12"/>
    <s v="Hasliati"/>
    <n v="6282346514434"/>
    <s v="Mandiri (CS) 1410029052222 "/>
    <x v="5"/>
    <d v="2025-07-11T00:00:00"/>
    <x v="0"/>
    <n v="100000"/>
  </r>
  <r>
    <n v="13"/>
    <s v="Umi Widiyastuti"/>
    <n v="6281298890944"/>
    <s v="Mandiri (CS) 1410029052222 "/>
    <x v="5"/>
    <d v="2025-07-11T00:00:00"/>
    <x v="0"/>
    <n v="200000"/>
  </r>
  <r>
    <n v="14"/>
    <s v="Ismail"/>
    <n v="6282111557441"/>
    <s v="Mandiri (CS) 1410029052222 "/>
    <x v="5"/>
    <d v="2025-07-11T00:00:00"/>
    <x v="0"/>
    <n v="50000"/>
  </r>
  <r>
    <n v="15"/>
    <s v="Suhendra"/>
    <n v="6285383937357"/>
    <s v="Mandiri (CS) 1410029052222 "/>
    <x v="1"/>
    <d v="2025-08-11T00:00:00"/>
    <x v="0"/>
    <n v="100000"/>
  </r>
  <r>
    <n v="16"/>
    <s v="Fatuhurrohman"/>
    <n v="6282280238195"/>
    <s v="BSI (CS) 7316126698"/>
    <x v="6"/>
    <d v="2025-12-11T00:00:00"/>
    <x v="0"/>
    <n v="300000"/>
  </r>
  <r>
    <n v="17"/>
    <s v="Nining Munawaroh"/>
    <n v="6281324838809"/>
    <s v="Mandiri (CS) 1410029052222 "/>
    <x v="6"/>
    <d v="2025-12-11T00:00:00"/>
    <x v="0"/>
    <n v="60000"/>
  </r>
  <r>
    <n v="18"/>
    <s v="Rusli"/>
    <n v="6282274065018"/>
    <s v="BRI (CS) 115901000648567"/>
    <x v="7"/>
    <s v="11/14/2025"/>
    <x v="0"/>
    <n v="30000"/>
  </r>
  <r>
    <n v="19"/>
    <s v="M Artoni"/>
    <n v="6285390416000"/>
    <s v="BRI (CS) 115901000648567"/>
    <x v="7"/>
    <s v="11/14/2025"/>
    <x v="0"/>
    <n v="100000"/>
  </r>
  <r>
    <n v="20"/>
    <s v="Moh Sholichin"/>
    <n v="6285335106553"/>
    <s v="BNI (CS) 5005003227"/>
    <x v="7"/>
    <s v="11/14/2025"/>
    <x v="0"/>
    <n v="50000"/>
  </r>
  <r>
    <n v="21"/>
    <s v="Anthony Wijaya"/>
    <n v="6282123452608"/>
    <s v="Mandiri (CS) 1410029052222 "/>
    <x v="8"/>
    <s v="11/15/2025"/>
    <x v="0"/>
    <n v="75000"/>
  </r>
  <r>
    <n v="22"/>
    <s v="Nurul Aini"/>
    <n v="6281380350875"/>
    <s v="Mandiri (CS) 1410029052222 "/>
    <x v="9"/>
    <s v="11/18/2025"/>
    <x v="0"/>
    <n v="100000"/>
  </r>
  <r>
    <n v="23"/>
    <s v="Indah Arianti"/>
    <n v="6282284481994"/>
    <s v="BRI (CS) 115901000648567"/>
    <x v="9"/>
    <s v="11/18/2025"/>
    <x v="0"/>
    <n v="100000"/>
  </r>
  <r>
    <n v="24"/>
    <s v="Ayu Wulansari"/>
    <n v="6282261262826"/>
    <s v="Mandiri (CS) 1410029052222 "/>
    <x v="9"/>
    <s v="11/18/2025"/>
    <x v="0"/>
    <n v="150000"/>
  </r>
  <r>
    <n v="25"/>
    <s v="Desi Asriyani"/>
    <n v="6282179457884"/>
    <s v="BRI (CS) 115901000648567"/>
    <x v="10"/>
    <s v="11/21/2025"/>
    <x v="0"/>
    <n v="115000"/>
  </r>
  <r>
    <n v="26"/>
    <s v="Sabaruddin"/>
    <n v="6285247101529"/>
    <s v="BRI (CS) 115901000648567"/>
    <x v="10"/>
    <s v="11/21/2025"/>
    <x v="0"/>
    <n v="100000"/>
  </r>
  <r>
    <n v="27"/>
    <s v="Dian A"/>
    <n v="6281222990109"/>
    <s v="Mandiri (CS) 1410029052222 "/>
    <x v="5"/>
    <s v="11/21/2025"/>
    <x v="0"/>
    <n v="100000"/>
  </r>
  <r>
    <n v="28"/>
    <s v="Fatihurrohman"/>
    <n v="6282280238195"/>
    <s v="BSI (CS) 7316126698"/>
    <x v="10"/>
    <s v="11/24/2025"/>
    <x v="0"/>
    <n v="200000"/>
  </r>
  <r>
    <n v="29"/>
    <s v="Firman Arbi "/>
    <n v="6282267671619"/>
    <s v="BRI (CS) 115901000648567"/>
    <x v="11"/>
    <s v="11/24/2025"/>
    <x v="0"/>
    <n v="100000"/>
  </r>
  <r>
    <m/>
    <m/>
    <m/>
    <m/>
    <x v="12"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DD9AA-18E4-41B7-A1FD-A507842B63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9" firstHeaderRow="1" firstDataRow="3" firstDataCol="1"/>
  <pivotFields count="8">
    <pivotField dataField="1" showAll="0"/>
    <pivotField showAll="0"/>
    <pivotField showAll="0"/>
    <pivotField showAll="0"/>
    <pivotField axis="axisRow" showAll="0">
      <items count="14">
        <item x="0"/>
        <item x="1"/>
        <item x="2"/>
        <item x="1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5">
        <item x="0"/>
        <item x="1"/>
        <item m="1" x="3"/>
        <item m="1" x="2"/>
        <item t="default"/>
      </items>
    </pivotField>
    <pivotField dataField="1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Total" fld="7" baseField="0" baseItem="0"/>
    <dataField name="Count of No" fld="0" subtotal="count" baseField="4" baseItem="0"/>
  </dataFields>
  <formats count="4">
    <format dxfId="5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4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4" count="1">
            <x v="11"/>
          </reference>
          <reference field="6" count="1" selected="0">
            <x v="3"/>
          </reference>
        </references>
      </pivotArea>
    </format>
    <format dxfId="2">
      <pivotArea field="6" grandRow="1" outline="0" collapsedLevelsAreSubtotals="1" axis="axisCol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EF9B3-9EA9-4074-A002-9E4FF7EEDC9E}" name="Table2" displayName="Table2" ref="A1:I30" totalsRowShown="0">
  <autoFilter ref="A1:I30" xr:uid="{25625092-F70D-40D9-B38A-D8820FE54B33}"/>
  <tableColumns count="9">
    <tableColumn id="1" xr3:uid="{EC02619A-BAB1-4E44-86EC-BDE4E7A15A14}" name="No" dataDxfId="13"/>
    <tableColumn id="2" xr3:uid="{846F95A7-4AFF-4AA2-8610-5ABB4EE014A9}" name="Donatur" dataDxfId="12"/>
    <tableColumn id="3" xr3:uid="{24ED3E4E-D426-44C9-8BFD-9D89B593EE15}" name="Whatsapp" dataDxfId="11"/>
    <tableColumn id="4" xr3:uid="{D68749F9-0350-4F3D-8DC5-5E08EFE8BCD1}" name="Payment Account" dataDxfId="10"/>
    <tableColumn id="9" xr3:uid="{E7E853D8-6673-46D1-B91A-4EB3866F36D6}" name="Date Blast" dataDxfId="0"/>
    <tableColumn id="5" xr3:uid="{9533C8DD-7BCF-4014-936E-950B5E1629E0}" name="Date" dataDxfId="9"/>
    <tableColumn id="6" xr3:uid="{26C86FFE-5387-4F22-B253-833C653F6AD2}" name="Nomor CS" dataDxfId="8"/>
    <tableColumn id="7" xr3:uid="{2BFE59B0-9C7E-4782-BBB4-0301FFF28F23}" name="Total" dataDxfId="7" dataCellStyle="Currency [0]"/>
    <tableColumn id="10" xr3:uid="{689D86FB-765E-450F-BE01-75A89D61FA30}" name="Column1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3B66-263B-4886-B622-1C4E58ABF8A4}">
  <dimension ref="A1:S60"/>
  <sheetViews>
    <sheetView tabSelected="1" zoomScale="107" zoomScaleNormal="100" workbookViewId="0">
      <selection activeCell="E4" sqref="E4"/>
    </sheetView>
  </sheetViews>
  <sheetFormatPr defaultRowHeight="15" x14ac:dyDescent="0.25"/>
  <cols>
    <col min="1" max="1" width="5.5703125" customWidth="1"/>
    <col min="2" max="2" width="39" customWidth="1"/>
    <col min="3" max="3" width="16.140625" style="1" bestFit="1" customWidth="1"/>
    <col min="4" max="4" width="25.42578125" bestFit="1" customWidth="1"/>
    <col min="5" max="5" width="11.5703125" bestFit="1" customWidth="1"/>
    <col min="6" max="6" width="11.140625" style="2" bestFit="1" customWidth="1"/>
    <col min="7" max="7" width="13.85546875" style="1" bestFit="1" customWidth="1"/>
    <col min="8" max="8" width="12.7109375" style="17" customWidth="1"/>
    <col min="9" max="9" width="11.140625" hidden="1" customWidth="1"/>
    <col min="10" max="10" width="31" bestFit="1" customWidth="1"/>
    <col min="11" max="11" width="27.85546875" bestFit="1" customWidth="1"/>
    <col min="12" max="12" width="13.85546875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1" t="s">
        <v>6</v>
      </c>
      <c r="H1" s="3" t="s">
        <v>7</v>
      </c>
      <c r="I1" t="s">
        <v>8</v>
      </c>
    </row>
    <row r="2" spans="1:19" x14ac:dyDescent="0.25">
      <c r="A2" s="4">
        <v>1</v>
      </c>
      <c r="B2" s="4" t="s">
        <v>22</v>
      </c>
      <c r="C2" s="5">
        <v>6282255941217</v>
      </c>
      <c r="D2" s="6" t="s">
        <v>15</v>
      </c>
      <c r="E2" s="7" t="s">
        <v>23</v>
      </c>
      <c r="F2" s="7" t="s">
        <v>23</v>
      </c>
      <c r="G2" s="8">
        <v>6285119990038</v>
      </c>
      <c r="H2" s="9">
        <v>50000</v>
      </c>
      <c r="I2" s="6"/>
    </row>
    <row r="3" spans="1:19" x14ac:dyDescent="0.25">
      <c r="A3" s="4">
        <v>2</v>
      </c>
      <c r="B3" s="4" t="s">
        <v>24</v>
      </c>
      <c r="C3" s="5">
        <v>6285297062206</v>
      </c>
      <c r="D3" s="6" t="s">
        <v>9</v>
      </c>
      <c r="E3" s="7">
        <v>45962</v>
      </c>
      <c r="F3" s="7">
        <v>45962</v>
      </c>
      <c r="G3" s="8">
        <v>6285119990038</v>
      </c>
      <c r="H3" s="9">
        <v>30000</v>
      </c>
      <c r="I3" s="6"/>
      <c r="R3" s="25"/>
      <c r="S3" s="25"/>
    </row>
    <row r="4" spans="1:19" x14ac:dyDescent="0.25">
      <c r="A4" s="4">
        <v>3</v>
      </c>
      <c r="B4" s="11" t="s">
        <v>25</v>
      </c>
      <c r="C4" s="12">
        <v>6281213994843</v>
      </c>
      <c r="D4" s="13" t="s">
        <v>9</v>
      </c>
      <c r="E4" s="7">
        <v>45727</v>
      </c>
      <c r="F4" s="7">
        <v>45727</v>
      </c>
      <c r="G4" s="8">
        <v>6285119990038</v>
      </c>
      <c r="H4" s="14">
        <v>100000</v>
      </c>
      <c r="I4" s="13"/>
    </row>
    <row r="5" spans="1:19" x14ac:dyDescent="0.25">
      <c r="A5" s="4">
        <v>4</v>
      </c>
      <c r="B5" s="11" t="s">
        <v>34</v>
      </c>
      <c r="C5" s="12">
        <v>6285347671470</v>
      </c>
      <c r="D5" s="13" t="s">
        <v>15</v>
      </c>
      <c r="E5" s="7" t="s">
        <v>36</v>
      </c>
      <c r="F5" s="7">
        <v>45758</v>
      </c>
      <c r="G5" s="8">
        <v>6285119990038</v>
      </c>
      <c r="H5" s="14">
        <v>100000</v>
      </c>
      <c r="I5" s="13"/>
      <c r="J5" t="s">
        <v>11</v>
      </c>
      <c r="K5" s="10" t="s">
        <v>12</v>
      </c>
    </row>
    <row r="6" spans="1:19" x14ac:dyDescent="0.25">
      <c r="A6" s="4">
        <v>5</v>
      </c>
      <c r="B6" s="11" t="s">
        <v>35</v>
      </c>
      <c r="C6" s="12">
        <v>6282268913756</v>
      </c>
      <c r="D6" s="13" t="s">
        <v>10</v>
      </c>
      <c r="E6" s="15">
        <v>45819</v>
      </c>
      <c r="F6" s="15">
        <v>45819</v>
      </c>
      <c r="G6" s="8">
        <v>6285119990038</v>
      </c>
      <c r="H6" s="14">
        <v>50000</v>
      </c>
      <c r="I6" s="13"/>
      <c r="J6" t="s">
        <v>9</v>
      </c>
      <c r="K6" s="10" t="s">
        <v>11</v>
      </c>
    </row>
    <row r="7" spans="1:19" x14ac:dyDescent="0.25">
      <c r="A7" s="4">
        <v>6</v>
      </c>
      <c r="B7" s="11" t="s">
        <v>37</v>
      </c>
      <c r="C7" s="12">
        <v>6281380350875</v>
      </c>
      <c r="D7" s="13" t="s">
        <v>10</v>
      </c>
      <c r="E7" s="15">
        <v>45849</v>
      </c>
      <c r="F7" s="15">
        <v>45849</v>
      </c>
      <c r="G7" s="8">
        <v>6285119990038</v>
      </c>
      <c r="H7" s="14">
        <v>100000</v>
      </c>
      <c r="I7" s="13"/>
      <c r="J7" t="s">
        <v>14</v>
      </c>
      <c r="K7" s="10" t="s">
        <v>9</v>
      </c>
    </row>
    <row r="8" spans="1:19" x14ac:dyDescent="0.25">
      <c r="A8" s="4">
        <v>7</v>
      </c>
      <c r="B8" s="11" t="s">
        <v>38</v>
      </c>
      <c r="C8" s="12">
        <v>6281376448936</v>
      </c>
      <c r="D8" s="13" t="s">
        <v>9</v>
      </c>
      <c r="E8" s="15">
        <v>45849</v>
      </c>
      <c r="F8" s="15">
        <v>45849</v>
      </c>
      <c r="G8" s="8">
        <v>6285119990038</v>
      </c>
      <c r="H8" s="14">
        <v>200000</v>
      </c>
      <c r="I8" s="13"/>
      <c r="J8" t="s">
        <v>15</v>
      </c>
      <c r="K8" s="10"/>
    </row>
    <row r="9" spans="1:19" x14ac:dyDescent="0.25">
      <c r="A9" s="4">
        <v>8</v>
      </c>
      <c r="B9" s="4" t="s">
        <v>39</v>
      </c>
      <c r="C9" s="5">
        <v>6282284481994</v>
      </c>
      <c r="D9" s="6" t="s">
        <v>10</v>
      </c>
      <c r="E9" s="15">
        <v>45849</v>
      </c>
      <c r="F9" s="15">
        <v>45849</v>
      </c>
      <c r="G9" s="8">
        <v>6285119990038</v>
      </c>
      <c r="H9" s="9">
        <v>100000</v>
      </c>
      <c r="I9" s="6"/>
      <c r="J9" t="s">
        <v>16</v>
      </c>
      <c r="K9" s="10" t="s">
        <v>17</v>
      </c>
    </row>
    <row r="10" spans="1:19" x14ac:dyDescent="0.25">
      <c r="A10" s="4">
        <v>9</v>
      </c>
      <c r="B10" s="11" t="s">
        <v>40</v>
      </c>
      <c r="C10" s="12">
        <v>6282158224455</v>
      </c>
      <c r="D10" s="13" t="s">
        <v>9</v>
      </c>
      <c r="E10" s="15">
        <v>45849</v>
      </c>
      <c r="F10" s="15">
        <v>45849</v>
      </c>
      <c r="G10" s="8">
        <v>6285119990038</v>
      </c>
      <c r="H10" s="14">
        <v>50000</v>
      </c>
      <c r="I10" s="13"/>
      <c r="J10" t="s">
        <v>13</v>
      </c>
      <c r="K10" s="10" t="s">
        <v>18</v>
      </c>
    </row>
    <row r="11" spans="1:19" x14ac:dyDescent="0.25">
      <c r="A11" s="4">
        <v>10</v>
      </c>
      <c r="B11" s="4" t="s">
        <v>41</v>
      </c>
      <c r="C11" s="5">
        <v>6281220196396</v>
      </c>
      <c r="D11" s="6" t="s">
        <v>15</v>
      </c>
      <c r="E11" s="15">
        <v>45849</v>
      </c>
      <c r="F11" s="15">
        <v>45849</v>
      </c>
      <c r="G11" s="8">
        <v>6285119990038</v>
      </c>
      <c r="H11" s="14">
        <v>150000</v>
      </c>
      <c r="I11" s="6"/>
      <c r="J11" t="s">
        <v>19</v>
      </c>
      <c r="K11" s="10" t="s">
        <v>15</v>
      </c>
    </row>
    <row r="12" spans="1:19" x14ac:dyDescent="0.25">
      <c r="A12" s="4">
        <v>11</v>
      </c>
      <c r="B12" s="11" t="s">
        <v>42</v>
      </c>
      <c r="C12" s="12">
        <v>628137524311</v>
      </c>
      <c r="D12" s="13" t="s">
        <v>15</v>
      </c>
      <c r="E12" s="15">
        <v>45849</v>
      </c>
      <c r="F12" s="15">
        <v>45849</v>
      </c>
      <c r="G12" s="8">
        <v>6285119990038</v>
      </c>
      <c r="H12" s="14">
        <v>100000</v>
      </c>
      <c r="I12" s="13"/>
      <c r="J12" t="s">
        <v>10</v>
      </c>
      <c r="K12" s="16"/>
    </row>
    <row r="13" spans="1:19" x14ac:dyDescent="0.25">
      <c r="A13" s="4">
        <v>12</v>
      </c>
      <c r="B13" s="11" t="s">
        <v>43</v>
      </c>
      <c r="C13" s="12">
        <v>6282346514434</v>
      </c>
      <c r="D13" s="13" t="s">
        <v>9</v>
      </c>
      <c r="E13" s="15">
        <v>45849</v>
      </c>
      <c r="F13" s="15">
        <v>45849</v>
      </c>
      <c r="G13" s="8">
        <v>6285119990038</v>
      </c>
      <c r="H13" s="14">
        <v>100000</v>
      </c>
      <c r="I13" s="13"/>
      <c r="K13" s="10" t="s">
        <v>20</v>
      </c>
    </row>
    <row r="14" spans="1:19" x14ac:dyDescent="0.25">
      <c r="A14" s="4">
        <v>13</v>
      </c>
      <c r="B14" s="11" t="s">
        <v>44</v>
      </c>
      <c r="C14" s="12">
        <v>6281298890944</v>
      </c>
      <c r="D14" s="13" t="s">
        <v>9</v>
      </c>
      <c r="E14" s="15">
        <v>45849</v>
      </c>
      <c r="F14" s="15">
        <v>45849</v>
      </c>
      <c r="G14" s="24">
        <v>6285119990038</v>
      </c>
      <c r="H14" s="14">
        <v>200000</v>
      </c>
      <c r="I14" s="13"/>
      <c r="K14" s="10" t="s">
        <v>16</v>
      </c>
    </row>
    <row r="15" spans="1:19" x14ac:dyDescent="0.25">
      <c r="A15" s="4">
        <v>14</v>
      </c>
      <c r="B15" s="11" t="s">
        <v>45</v>
      </c>
      <c r="C15" s="12">
        <v>6282111557441</v>
      </c>
      <c r="D15" s="13" t="s">
        <v>9</v>
      </c>
      <c r="E15" s="15">
        <v>45849</v>
      </c>
      <c r="F15" s="15">
        <v>45849</v>
      </c>
      <c r="G15" s="24">
        <v>6285119990038</v>
      </c>
      <c r="H15" s="14">
        <v>50000</v>
      </c>
      <c r="I15" s="13"/>
      <c r="J15" s="18">
        <v>6287851627778</v>
      </c>
      <c r="K15" s="10" t="s">
        <v>13</v>
      </c>
    </row>
    <row r="16" spans="1:19" x14ac:dyDescent="0.25">
      <c r="A16" s="4">
        <v>15</v>
      </c>
      <c r="B16" s="11" t="s">
        <v>46</v>
      </c>
      <c r="C16" s="12">
        <v>6285383937357</v>
      </c>
      <c r="D16" s="13" t="s">
        <v>9</v>
      </c>
      <c r="E16" s="15">
        <v>45668</v>
      </c>
      <c r="F16" s="15">
        <v>45880</v>
      </c>
      <c r="G16" s="24">
        <v>6285119990038</v>
      </c>
      <c r="H16" s="14">
        <v>100000</v>
      </c>
      <c r="I16" s="13"/>
      <c r="J16" s="18">
        <v>6285119990038</v>
      </c>
      <c r="K16" s="16"/>
    </row>
    <row r="17" spans="1:11" x14ac:dyDescent="0.25">
      <c r="A17" s="4">
        <v>16</v>
      </c>
      <c r="B17" s="11" t="s">
        <v>47</v>
      </c>
      <c r="C17" s="12">
        <v>6282280238195</v>
      </c>
      <c r="D17" s="13" t="s">
        <v>13</v>
      </c>
      <c r="E17" s="15">
        <v>46002</v>
      </c>
      <c r="F17" s="15">
        <v>46002</v>
      </c>
      <c r="G17" s="24">
        <v>6285119990038</v>
      </c>
      <c r="H17" s="14">
        <v>300000</v>
      </c>
      <c r="I17" s="13"/>
      <c r="K17" s="10" t="s">
        <v>21</v>
      </c>
    </row>
    <row r="18" spans="1:11" x14ac:dyDescent="0.25">
      <c r="A18" s="4">
        <v>17</v>
      </c>
      <c r="B18" s="11" t="s">
        <v>48</v>
      </c>
      <c r="C18" s="12">
        <v>6281324838809</v>
      </c>
      <c r="D18" s="13" t="s">
        <v>9</v>
      </c>
      <c r="E18" s="15">
        <v>46002</v>
      </c>
      <c r="F18" s="15">
        <v>46002</v>
      </c>
      <c r="G18" s="24">
        <v>6285119990038</v>
      </c>
      <c r="H18" s="14">
        <v>60000</v>
      </c>
      <c r="I18" s="13"/>
      <c r="K18" s="10" t="s">
        <v>19</v>
      </c>
    </row>
    <row r="19" spans="1:11" x14ac:dyDescent="0.25">
      <c r="A19" s="4">
        <v>18</v>
      </c>
      <c r="B19" s="11" t="s">
        <v>49</v>
      </c>
      <c r="C19" s="12">
        <v>6282274065018</v>
      </c>
      <c r="D19" s="13" t="s">
        <v>10</v>
      </c>
      <c r="E19" s="15" t="s">
        <v>50</v>
      </c>
      <c r="F19" s="15" t="s">
        <v>50</v>
      </c>
      <c r="G19" s="24">
        <v>6285119990038</v>
      </c>
      <c r="H19" s="14">
        <v>30000</v>
      </c>
      <c r="I19" s="13"/>
      <c r="J19" s="19"/>
      <c r="K19" s="10" t="s">
        <v>10</v>
      </c>
    </row>
    <row r="20" spans="1:11" x14ac:dyDescent="0.25">
      <c r="A20" s="4">
        <v>19</v>
      </c>
      <c r="B20" s="11" t="s">
        <v>51</v>
      </c>
      <c r="C20" s="12">
        <v>6285390416000</v>
      </c>
      <c r="D20" s="13" t="s">
        <v>10</v>
      </c>
      <c r="E20" s="15" t="s">
        <v>50</v>
      </c>
      <c r="F20" s="15" t="s">
        <v>50</v>
      </c>
      <c r="G20" s="24">
        <v>6285119990038</v>
      </c>
      <c r="H20" s="14">
        <v>100000</v>
      </c>
      <c r="I20" s="13"/>
    </row>
    <row r="21" spans="1:11" x14ac:dyDescent="0.25">
      <c r="A21" s="4">
        <v>20</v>
      </c>
      <c r="B21" s="11" t="s">
        <v>52</v>
      </c>
      <c r="C21" s="12">
        <v>6285335106553</v>
      </c>
      <c r="D21" s="13" t="s">
        <v>15</v>
      </c>
      <c r="E21" s="15" t="s">
        <v>50</v>
      </c>
      <c r="F21" s="15" t="s">
        <v>50</v>
      </c>
      <c r="G21" s="24">
        <v>6285119990038</v>
      </c>
      <c r="H21" s="14">
        <v>50000</v>
      </c>
      <c r="I21" s="13"/>
    </row>
    <row r="22" spans="1:11" x14ac:dyDescent="0.25">
      <c r="A22" s="4">
        <v>21</v>
      </c>
      <c r="B22" s="11" t="s">
        <v>54</v>
      </c>
      <c r="C22" s="12">
        <v>6282123452608</v>
      </c>
      <c r="D22" s="13" t="s">
        <v>9</v>
      </c>
      <c r="E22" s="15" t="s">
        <v>53</v>
      </c>
      <c r="F22" s="15" t="s">
        <v>53</v>
      </c>
      <c r="G22" s="24">
        <v>6285119990038</v>
      </c>
      <c r="H22" s="14">
        <v>75000</v>
      </c>
      <c r="I22" s="13"/>
    </row>
    <row r="23" spans="1:11" x14ac:dyDescent="0.25">
      <c r="A23" s="4">
        <v>22</v>
      </c>
      <c r="B23" s="11" t="s">
        <v>37</v>
      </c>
      <c r="C23" s="12">
        <v>6281380350875</v>
      </c>
      <c r="D23" s="13" t="s">
        <v>9</v>
      </c>
      <c r="E23" s="15" t="s">
        <v>55</v>
      </c>
      <c r="F23" s="15" t="s">
        <v>55</v>
      </c>
      <c r="G23" s="24">
        <v>6285119990038</v>
      </c>
      <c r="H23" s="14">
        <v>100000</v>
      </c>
      <c r="I23" s="13"/>
      <c r="J23" s="19"/>
    </row>
    <row r="24" spans="1:11" x14ac:dyDescent="0.25">
      <c r="A24" s="4">
        <v>23</v>
      </c>
      <c r="B24" s="11" t="s">
        <v>39</v>
      </c>
      <c r="C24" s="12">
        <v>6282284481994</v>
      </c>
      <c r="D24" s="13" t="s">
        <v>10</v>
      </c>
      <c r="E24" s="15" t="s">
        <v>55</v>
      </c>
      <c r="F24" s="15" t="s">
        <v>55</v>
      </c>
      <c r="G24" s="24">
        <v>6285119990038</v>
      </c>
      <c r="H24" s="14">
        <v>100000</v>
      </c>
      <c r="I24" s="13"/>
    </row>
    <row r="25" spans="1:11" x14ac:dyDescent="0.25">
      <c r="A25" s="4">
        <v>24</v>
      </c>
      <c r="B25" s="11" t="s">
        <v>56</v>
      </c>
      <c r="C25" s="12">
        <v>6282261262826</v>
      </c>
      <c r="D25" s="13" t="s">
        <v>9</v>
      </c>
      <c r="E25" s="15" t="s">
        <v>55</v>
      </c>
      <c r="F25" s="15" t="s">
        <v>55</v>
      </c>
      <c r="G25" s="24">
        <v>6285119990038</v>
      </c>
      <c r="H25" s="14">
        <v>150000</v>
      </c>
      <c r="I25" s="13"/>
    </row>
    <row r="26" spans="1:11" x14ac:dyDescent="0.25">
      <c r="A26" s="4">
        <v>25</v>
      </c>
      <c r="B26" s="11" t="s">
        <v>57</v>
      </c>
      <c r="C26" s="12">
        <v>6282179457884</v>
      </c>
      <c r="D26" s="13" t="s">
        <v>10</v>
      </c>
      <c r="E26" s="15" t="s">
        <v>58</v>
      </c>
      <c r="F26" s="15" t="s">
        <v>58</v>
      </c>
      <c r="G26" s="24">
        <v>6285119990038</v>
      </c>
      <c r="H26" s="14">
        <v>115000</v>
      </c>
      <c r="I26" s="13"/>
      <c r="J26" s="19">
        <f>SUM(H26:H28)</f>
        <v>315000</v>
      </c>
    </row>
    <row r="27" spans="1:11" x14ac:dyDescent="0.25">
      <c r="A27" s="4">
        <v>26</v>
      </c>
      <c r="B27" s="11" t="s">
        <v>59</v>
      </c>
      <c r="C27" s="12">
        <v>6285247101529</v>
      </c>
      <c r="D27" s="13" t="s">
        <v>10</v>
      </c>
      <c r="E27" s="15" t="s">
        <v>58</v>
      </c>
      <c r="F27" s="15" t="s">
        <v>58</v>
      </c>
      <c r="G27" s="24">
        <v>6285119990038</v>
      </c>
      <c r="H27" s="14">
        <v>100000</v>
      </c>
      <c r="I27" s="13"/>
    </row>
    <row r="28" spans="1:11" x14ac:dyDescent="0.25">
      <c r="A28" s="4">
        <v>27</v>
      </c>
      <c r="B28" s="11" t="s">
        <v>60</v>
      </c>
      <c r="C28" s="12">
        <v>6281222990109</v>
      </c>
      <c r="D28" s="13" t="s">
        <v>9</v>
      </c>
      <c r="E28" s="15">
        <v>45849</v>
      </c>
      <c r="F28" s="15" t="s">
        <v>58</v>
      </c>
      <c r="G28" s="24">
        <v>6285119990038</v>
      </c>
      <c r="H28" s="14">
        <v>100000</v>
      </c>
      <c r="I28" s="13"/>
    </row>
    <row r="29" spans="1:11" x14ac:dyDescent="0.25">
      <c r="A29" s="4">
        <v>28</v>
      </c>
      <c r="B29" s="11" t="s">
        <v>61</v>
      </c>
      <c r="C29" s="12">
        <v>6282280238195</v>
      </c>
      <c r="D29" s="13" t="s">
        <v>13</v>
      </c>
      <c r="E29" s="15" t="s">
        <v>58</v>
      </c>
      <c r="F29" s="15" t="s">
        <v>62</v>
      </c>
      <c r="G29" s="24">
        <v>6285119990038</v>
      </c>
      <c r="H29" s="14">
        <v>200000</v>
      </c>
      <c r="I29" s="13"/>
    </row>
    <row r="30" spans="1:11" x14ac:dyDescent="0.25">
      <c r="A30" s="4">
        <v>29</v>
      </c>
      <c r="B30" s="11" t="s">
        <v>63</v>
      </c>
      <c r="C30" s="12">
        <v>6282267671619</v>
      </c>
      <c r="D30" s="13" t="s">
        <v>10</v>
      </c>
      <c r="E30" s="15" t="s">
        <v>64</v>
      </c>
      <c r="F30" s="15" t="s">
        <v>62</v>
      </c>
      <c r="G30" s="24">
        <v>6285119990038</v>
      </c>
      <c r="H30" s="14">
        <v>100000</v>
      </c>
      <c r="I30" s="13"/>
    </row>
    <row r="35" spans="4:12" x14ac:dyDescent="0.25">
      <c r="D35">
        <v>7130</v>
      </c>
    </row>
    <row r="39" spans="4:12" x14ac:dyDescent="0.25">
      <c r="J39" s="19"/>
    </row>
    <row r="42" spans="4:12" x14ac:dyDescent="0.25">
      <c r="L42" s="19"/>
    </row>
    <row r="59" spans="10:10" x14ac:dyDescent="0.25">
      <c r="J59" s="20"/>
    </row>
    <row r="60" spans="10:10" x14ac:dyDescent="0.25">
      <c r="J60" s="19"/>
    </row>
  </sheetData>
  <mergeCells count="1">
    <mergeCell ref="R3:S3"/>
  </mergeCells>
  <conditionalFormatting sqref="C1:C1048576">
    <cfRule type="duplicateValues" dxfId="1" priority="1"/>
  </conditionalFormatting>
  <dataValidations count="2">
    <dataValidation type="list" allowBlank="1" showInputMessage="1" showErrorMessage="1" sqref="G2:G30" xr:uid="{3DA28642-D810-41A8-9368-250FE38EFB42}">
      <formula1>$J$15:$J$16</formula1>
    </dataValidation>
    <dataValidation type="list" allowBlank="1" showInputMessage="1" showErrorMessage="1" sqref="D2:D30" xr:uid="{B64A3131-D3AC-45D9-ADF0-8EC03EF8AB1D}">
      <formula1>$J$5:$J$12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FD4D-FEF3-46F9-963E-AEA0D86C318E}">
  <dimension ref="A3:G19"/>
  <sheetViews>
    <sheetView topLeftCell="A10" workbookViewId="0">
      <selection activeCell="B8" sqref="B8"/>
    </sheetView>
  </sheetViews>
  <sheetFormatPr defaultRowHeight="15" x14ac:dyDescent="0.25"/>
  <cols>
    <col min="1" max="1" width="12.42578125" bestFit="1" customWidth="1"/>
    <col min="2" max="2" width="15.28515625" bestFit="1" customWidth="1"/>
    <col min="3" max="3" width="10.85546875" bestFit="1" customWidth="1"/>
    <col min="4" max="4" width="11.42578125" bestFit="1" customWidth="1"/>
    <col min="5" max="5" width="10.85546875" bestFit="1" customWidth="1"/>
    <col min="6" max="6" width="16.140625" bestFit="1" customWidth="1"/>
    <col min="7" max="7" width="15.7109375" bestFit="1" customWidth="1"/>
    <col min="8" max="8" width="16.140625" bestFit="1" customWidth="1"/>
    <col min="9" max="9" width="15.7109375" bestFit="1" customWidth="1"/>
  </cols>
  <sheetData>
    <row r="3" spans="1:7" x14ac:dyDescent="0.25">
      <c r="B3" s="21" t="s">
        <v>29</v>
      </c>
    </row>
    <row r="4" spans="1:7" x14ac:dyDescent="0.25">
      <c r="B4">
        <v>6285119990038</v>
      </c>
      <c r="D4" t="s">
        <v>27</v>
      </c>
      <c r="F4" t="s">
        <v>31</v>
      </c>
      <c r="G4" t="s">
        <v>32</v>
      </c>
    </row>
    <row r="5" spans="1:7" x14ac:dyDescent="0.25">
      <c r="A5" s="21" t="s">
        <v>26</v>
      </c>
      <c r="B5" t="s">
        <v>30</v>
      </c>
      <c r="C5" t="s">
        <v>33</v>
      </c>
      <c r="D5" t="s">
        <v>30</v>
      </c>
      <c r="E5" t="s">
        <v>33</v>
      </c>
    </row>
    <row r="6" spans="1:7" x14ac:dyDescent="0.25">
      <c r="A6" s="10" t="s">
        <v>23</v>
      </c>
      <c r="B6" s="23">
        <v>50000</v>
      </c>
      <c r="C6">
        <v>1</v>
      </c>
      <c r="F6" s="23">
        <v>50000</v>
      </c>
      <c r="G6">
        <v>1</v>
      </c>
    </row>
    <row r="7" spans="1:7" x14ac:dyDescent="0.25">
      <c r="A7" s="22">
        <v>45668</v>
      </c>
      <c r="B7" s="23">
        <v>130000</v>
      </c>
      <c r="C7">
        <v>2</v>
      </c>
      <c r="F7" s="23">
        <v>130000</v>
      </c>
      <c r="G7">
        <v>2</v>
      </c>
    </row>
    <row r="8" spans="1:7" x14ac:dyDescent="0.25">
      <c r="A8" s="22">
        <v>45727</v>
      </c>
      <c r="B8" s="23">
        <v>100000</v>
      </c>
      <c r="C8">
        <v>1</v>
      </c>
      <c r="F8" s="23">
        <v>100000</v>
      </c>
      <c r="G8">
        <v>1</v>
      </c>
    </row>
    <row r="9" spans="1:7" x14ac:dyDescent="0.25">
      <c r="A9" s="10" t="s">
        <v>27</v>
      </c>
      <c r="B9" s="23"/>
      <c r="F9" s="23"/>
    </row>
    <row r="10" spans="1:7" x14ac:dyDescent="0.25">
      <c r="A10" s="10" t="s">
        <v>36</v>
      </c>
      <c r="B10" s="23">
        <v>100000</v>
      </c>
      <c r="C10">
        <v>1</v>
      </c>
      <c r="F10" s="23">
        <v>100000</v>
      </c>
      <c r="G10">
        <v>1</v>
      </c>
    </row>
    <row r="11" spans="1:7" x14ac:dyDescent="0.25">
      <c r="A11" s="22">
        <v>45819</v>
      </c>
      <c r="B11" s="23">
        <v>50000</v>
      </c>
      <c r="C11">
        <v>1</v>
      </c>
      <c r="F11" s="23">
        <v>50000</v>
      </c>
      <c r="G11">
        <v>1</v>
      </c>
    </row>
    <row r="12" spans="1:7" x14ac:dyDescent="0.25">
      <c r="A12" s="22">
        <v>45849</v>
      </c>
      <c r="B12" s="23">
        <v>1150000</v>
      </c>
      <c r="C12">
        <v>10</v>
      </c>
      <c r="F12" s="23">
        <v>1150000</v>
      </c>
      <c r="G12">
        <v>10</v>
      </c>
    </row>
    <row r="13" spans="1:7" x14ac:dyDescent="0.25">
      <c r="A13" s="22">
        <v>46002</v>
      </c>
      <c r="B13" s="23">
        <v>360000</v>
      </c>
      <c r="C13">
        <v>2</v>
      </c>
      <c r="F13" s="23">
        <v>360000</v>
      </c>
      <c r="G13">
        <v>2</v>
      </c>
    </row>
    <row r="14" spans="1:7" x14ac:dyDescent="0.25">
      <c r="A14" s="10" t="s">
        <v>50</v>
      </c>
      <c r="B14" s="23">
        <v>180000</v>
      </c>
      <c r="C14">
        <v>3</v>
      </c>
      <c r="F14" s="23">
        <v>180000</v>
      </c>
      <c r="G14">
        <v>3</v>
      </c>
    </row>
    <row r="15" spans="1:7" x14ac:dyDescent="0.25">
      <c r="A15" s="10" t="s">
        <v>53</v>
      </c>
      <c r="B15" s="23">
        <v>75000</v>
      </c>
      <c r="C15">
        <v>1</v>
      </c>
      <c r="F15" s="23">
        <v>75000</v>
      </c>
      <c r="G15">
        <v>1</v>
      </c>
    </row>
    <row r="16" spans="1:7" x14ac:dyDescent="0.25">
      <c r="A16" s="10" t="s">
        <v>55</v>
      </c>
      <c r="B16" s="23">
        <v>350000</v>
      </c>
      <c r="C16">
        <v>3</v>
      </c>
      <c r="F16" s="23">
        <v>350000</v>
      </c>
      <c r="G16">
        <v>3</v>
      </c>
    </row>
    <row r="17" spans="1:7" x14ac:dyDescent="0.25">
      <c r="A17" s="10" t="s">
        <v>58</v>
      </c>
      <c r="B17" s="23">
        <v>415000</v>
      </c>
      <c r="C17">
        <v>3</v>
      </c>
      <c r="F17" s="23">
        <v>415000</v>
      </c>
      <c r="G17">
        <v>3</v>
      </c>
    </row>
    <row r="18" spans="1:7" x14ac:dyDescent="0.25">
      <c r="A18" s="10" t="s">
        <v>64</v>
      </c>
      <c r="B18" s="23">
        <v>100000</v>
      </c>
      <c r="C18">
        <v>1</v>
      </c>
      <c r="F18" s="23">
        <v>100000</v>
      </c>
      <c r="G18">
        <v>1</v>
      </c>
    </row>
    <row r="19" spans="1:7" x14ac:dyDescent="0.25">
      <c r="A19" s="10" t="s">
        <v>28</v>
      </c>
      <c r="B19" s="23">
        <v>3060000</v>
      </c>
      <c r="C19">
        <v>29</v>
      </c>
      <c r="F19" s="23">
        <v>3060000</v>
      </c>
      <c r="G1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 REKAP NOV 1097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faruq izah al afghani</cp:lastModifiedBy>
  <dcterms:created xsi:type="dcterms:W3CDTF">2025-10-27T03:10:07Z</dcterms:created>
  <dcterms:modified xsi:type="dcterms:W3CDTF">2025-12-19T11:44:04Z</dcterms:modified>
</cp:coreProperties>
</file>