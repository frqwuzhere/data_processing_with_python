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new\"/>
    </mc:Choice>
  </mc:AlternateContent>
  <xr:revisionPtr revIDLastSave="0" documentId="13_ncr:1_{894A7D39-7E35-40B8-A8D8-89859D99228B}" xr6:coauthVersionLast="47" xr6:coauthVersionMax="47" xr10:uidLastSave="{00000000-0000-0000-0000-000000000000}"/>
  <bookViews>
    <workbookView xWindow="-120" yWindow="330" windowWidth="20730" windowHeight="11310" xr2:uid="{2ADF436E-6ED0-42E0-8872-1B051E5BDE9D}"/>
  </bookViews>
  <sheets>
    <sheet name="Rekap_himpunan" sheetId="1" r:id="rId1"/>
    <sheet name="TOTAL_TANGGAL" sheetId="3" r:id="rId2"/>
    <sheet name="Total_pertanggal" sheetId="2" r:id="rId3"/>
  </sheets>
  <definedNames>
    <definedName name="_xlnm._FilterDatabase" localSheetId="0" hidden="1">#REF!</definedName>
  </definedNames>
  <calcPr calcId="191029"/>
  <pivotCaches>
    <pivotCache cacheId="2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<sst xmlns="http://schemas.openxmlformats.org/spreadsheetml/2006/main" count="118" uniqueCount="42">
  <si>
    <t>No</t>
  </si>
  <si>
    <t>Donatur</t>
  </si>
  <si>
    <t>Whatsapp</t>
  </si>
  <si>
    <t>Payment Account</t>
  </si>
  <si>
    <t>Date Blast</t>
  </si>
  <si>
    <t>Date</t>
  </si>
  <si>
    <t>Nomor CS</t>
  </si>
  <si>
    <t>Total</t>
  </si>
  <si>
    <t>Column1</t>
  </si>
  <si>
    <t>BSI (CS) 7316126698</t>
  </si>
  <si>
    <t>BNI (CS) 5005003227</t>
  </si>
  <si>
    <t>Mandiri (Ads) 1410000665448</t>
  </si>
  <si>
    <t xml:space="preserve">MANDIRI </t>
  </si>
  <si>
    <t xml:space="preserve">Mandiri (CS) 1410029052222 </t>
  </si>
  <si>
    <t>BNI (Ads) 3003003257</t>
  </si>
  <si>
    <t>BRI (CS) 115901000648567</t>
  </si>
  <si>
    <t xml:space="preserve">BSI (Ads) 7772526274 </t>
  </si>
  <si>
    <t xml:space="preserve">BNI </t>
  </si>
  <si>
    <t>BNI (Ads(3003003257</t>
  </si>
  <si>
    <t>BRI (Ads) 115901000647561</t>
  </si>
  <si>
    <t>BSI</t>
  </si>
  <si>
    <t>BRI</t>
  </si>
  <si>
    <t>Budi Utomo</t>
  </si>
  <si>
    <t>Muh Arief</t>
  </si>
  <si>
    <t>Anton Cahyadi</t>
  </si>
  <si>
    <t>Hawari</t>
  </si>
  <si>
    <t>Ruslinarsi</t>
  </si>
  <si>
    <t>Tumino</t>
  </si>
  <si>
    <t>Row Labels</t>
  </si>
  <si>
    <t>Count of No</t>
  </si>
  <si>
    <t>Sum of Total</t>
  </si>
  <si>
    <t>(All)</t>
  </si>
  <si>
    <t>Tanggal</t>
  </si>
  <si>
    <t>Count of Donatur</t>
  </si>
  <si>
    <t>Grand Total</t>
  </si>
  <si>
    <t>Jajang Kurnia</t>
  </si>
  <si>
    <t>Marwanto</t>
  </si>
  <si>
    <t>Column Labels</t>
  </si>
  <si>
    <t>Total Count of No</t>
  </si>
  <si>
    <t>Total Sum of Total</t>
  </si>
  <si>
    <t>(blank)</t>
  </si>
  <si>
    <t>Anung Nurwulan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</si>
</sst>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_-[$Rp-421]* #,##0_-;\-[$Rp-421]* #,##0_-;_-[$Rp-421]* &quot;-&quot;_-;_-@_-"/>
    <numFmt numFmtId="165" formatCode="_-[$Rp-421]* #,##0_-;\-[$Rp-421]* #,##0_-;_-[$Rp-421]* &quot;-&quot;??_-;_-@_-"/>
    <numFmt numFmtId="166" formatCode="mm/dd/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9">
    <xf numFmtId="0" fontId="0" fillId="0" borderId="0" xfId="0"/>
    <xf numFmtId="1" fontId="0" fillId="0" borderId="0" xfId="0" applyNumberFormat="1"/>
    <xf numFmtId="42" fontId="0" fillId="0" borderId="0" xfId="1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1" xfId="0" applyNumberFormat="1" applyBorder="1" applyAlignment="1">
      <alignment horizontal="left"/>
    </xf>
    <xf numFmtId="42" fontId="0" fillId="0" borderId="1" xfId="1" applyFont="1" applyFill="1" applyBorder="1"/>
    <xf numFmtId="42" fontId="0" fillId="0" borderId="0" xfId="0" applyNumberFormat="1" applyAlignment="1">
      <alignment horizontal="left"/>
    </xf>
    <xf numFmtId="0" fontId="0" fillId="0" borderId="2" xfId="0" applyBorder="1"/>
    <xf numFmtId="1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center"/>
    </xf>
    <xf numFmtId="42" fontId="0" fillId="0" borderId="2" xfId="1" applyFont="1" applyFill="1" applyBorder="1"/>
    <xf numFmtId="1" fontId="0" fillId="0" borderId="0" xfId="0" applyNumberFormat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42" fontId="0" fillId="0" borderId="0" xfId="0" applyNumberFormat="1"/>
    <xf numFmtId="42" fontId="0" fillId="0" borderId="0" xfId="1" applyFont="1" applyFill="1" applyBorder="1"/>
    <xf numFmtId="42" fontId="0" fillId="0" borderId="0" xfId="1" applyFont="1"/>
    <xf numFmtId="14" fontId="0" fillId="0" borderId="0" xfId="0" applyNumberFormat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 indent="1"/>
    </xf>
    <xf numFmtId="1" fontId="0" fillId="0" borderId="0" xfId="0" applyNumberFormat="1" applyAlignment="1">
      <alignment horizontal="left" indent="2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6" fontId="0" fillId="0" borderId="1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</cellXfs>
  <cellStyles count="2">
    <cellStyle name="Currency [0]" xfId="1" builtinId="7"/>
    <cellStyle name="Normal" xfId="0" builtinId="0"/>
  </cellStyles>
  <dxfs count="22">
    <dxf>
      <numFmt numFmtId="166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" formatCode="0"/>
    </dxf>
    <dxf>
      <numFmt numFmtId="164" formatCode="_-[$Rp-421]* #,##0_-;\-[$Rp-421]* #,##0_-;_-[$Rp-421]* &quot;-&quot;_-;_-@_-"/>
    </dxf>
    <dxf>
      <numFmt numFmtId="1" formatCode="0"/>
    </dxf>
    <dxf>
      <numFmt numFmtId="1" formatCode="0"/>
    </dxf>
    <dxf>
      <numFmt numFmtId="165" formatCode="_-[$Rp-421]* #,##0_-;\-[$Rp-421]* #,##0_-;_-[$Rp-421]* &quot;-&quot;??_-;_-@_-"/>
    </dxf>
    <dxf>
      <numFmt numFmtId="1" formatCode="0"/>
    </dxf>
    <dxf>
      <numFmt numFmtId="165" formatCode="_-[$Rp-421]* #,##0_-;\-[$Rp-421]* #,##0_-;_-[$Rp-421]* &quot;-&quot;??_-;_-@_-"/>
    </dxf>
    <dxf>
      <numFmt numFmtId="1" formatCode="0"/>
    </dxf>
    <dxf>
      <numFmt numFmtId="1" formatCode="0"/>
    </dxf>
    <dxf>
      <numFmt numFmtId="164" formatCode="_-[$Rp-421]* #,##0_-;\-[$Rp-421]* #,##0_-;_-[$Rp-421]* &quot;-&quot;_-;_-@_-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cuments\TEMANBAIK.ID\DATA%207778\REKAP%20HIMPUNAN\Rekap_Himpunan_September_7778%20FX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15.576213888889" createdVersion="8" refreshedVersion="8" minRefreshableVersion="3" recordCount="44" xr:uid="{1604279D-2CC1-4A2C-B03B-C9FFF965A46A}">
  <cacheSource type="worksheet">
    <worksheetSource name="Table2" r:id="rId2"/>
  </cacheSource>
  <cacheFields count="9">
    <cacheField name="No" numFmtId="0">
      <sharedItems containsSemiMixedTypes="0" containsString="0" containsNumber="1" containsInteger="1" minValue="1" maxValue="44"/>
    </cacheField>
    <cacheField name="Donatur" numFmtId="0">
      <sharedItems/>
    </cacheField>
    <cacheField name="Whatsapp" numFmtId="1">
      <sharedItems containsSemiMixedTypes="0" containsString="0" containsNumber="1" containsInteger="1" minValue="628159493776" maxValue="62895704945944"/>
    </cacheField>
    <cacheField name="Payment Account" numFmtId="0">
      <sharedItems containsBlank="1" count="18">
        <s v="BSI (CS) 7316126698"/>
        <s v="BNI (CS) 5005003227"/>
        <s v="Mandiri (CS) 1410029052222 "/>
        <s v="BRI (CS) 115901000648567"/>
        <s v="BSI (Ads) 7772526274 "/>
        <s v="Mandiri (Ads) 1410000665448"/>
        <m u="1"/>
        <s v="BRI (Ads) 115901000647561" u="1"/>
        <s v="BNI (Ads) 3003003257" u="1"/>
        <s v="BNI 5005003227 " u="1"/>
        <s v="BRI 115901000648567 " u="1"/>
        <s v="Mandiri 1410029052222" u="1"/>
        <s v="BSI 7316126698" u="1"/>
        <s v="BNI" u="1"/>
        <s v="BRI" u="1"/>
        <s v="Mandiri" u="1"/>
        <s v="BSI" u="1"/>
        <s v="BCA" u="1"/>
      </sharedItems>
    </cacheField>
    <cacheField name="Date Blast" numFmtId="14">
      <sharedItems containsSemiMixedTypes="0" containsNonDate="0" containsDate="1" containsString="0" minDate="2025-07-10T00:00:00" maxDate="2026-07-19T00:00:00" count="43">
        <d v="2025-08-27T00:00:00"/>
        <d v="2025-08-15T00:00:00"/>
        <d v="2025-08-19T00:00:00"/>
        <d v="2025-08-25T00:00:00"/>
        <d v="2025-08-29T00:00:00"/>
        <d v="2025-08-22T00:00:00"/>
        <d v="2025-08-21T00:00:00"/>
        <d v="2025-09-05T00:00:00"/>
        <d v="2025-09-08T00:00:00"/>
        <d v="2025-09-09T00:00:00"/>
        <d v="2025-09-11T00:00:00"/>
        <d v="2025-09-12T00:00:00"/>
        <d v="2025-08-26T00:00:00"/>
        <d v="2025-09-10T00:00:00"/>
        <d v="2025-09-13T00:00:00"/>
        <d v="2025-08-23T00:00:00" u="1"/>
        <d v="2025-07-28T00:00:00" u="1"/>
        <d v="2025-07-29T00:00:00" u="1"/>
        <d v="2025-07-25T00:00:00" u="1"/>
        <d v="2025-08-02T00:00:00" u="1"/>
        <d v="2025-08-01T00:00:00" u="1"/>
        <d v="2025-07-15T00:00:00" u="1"/>
        <d v="2025-08-05T00:00:00" u="1"/>
        <d v="2025-08-07T00:00:00" u="1"/>
        <d v="2025-08-08T00:00:00" u="1"/>
        <d v="2025-08-04T00:00:00" u="1"/>
        <d v="2025-08-11T00:00:00" u="1"/>
        <d v="2025-07-31T00:00:00" u="1"/>
        <d v="2025-08-12T00:00:00" u="1"/>
        <d v="2025-08-14T00:00:00" u="1"/>
        <d v="2025-08-13T00:00:00" u="1"/>
        <d v="2025-08-16T00:00:00" u="1"/>
        <d v="2025-08-18T00:00:00" u="1"/>
        <d v="2025-08-09T00:00:00" u="1"/>
        <d v="2025-08-20T00:00:00" u="1"/>
        <d v="2025-07-24T00:00:00" u="1"/>
        <d v="2025-07-26T00:00:00" u="1"/>
        <d v="2025-07-30T00:00:00" u="1"/>
        <d v="2025-07-10T00:00:00" u="1"/>
        <d v="2025-07-12T00:00:00" u="1"/>
        <d v="2025-07-18T00:00:00" u="1"/>
        <d v="2025-07-19T00:00:00" u="1"/>
        <d v="2026-07-18T00:00:00" u="1"/>
      </sharedItems>
    </cacheField>
    <cacheField name="Date" numFmtId="14">
      <sharedItems containsSemiMixedTypes="0" containsNonDate="0" containsDate="1" containsString="0" minDate="2005-07-05T00:00:00" maxDate="2025-09-15T00:00:00" count="65">
        <d v="2025-08-27T00:00:00"/>
        <d v="2025-08-28T00:00:00"/>
        <d v="2025-08-29T00:00:00"/>
        <d v="2025-08-30T00:00:00"/>
        <d v="2025-08-31T00:00:00"/>
        <d v="2025-09-03T00:00:00"/>
        <d v="2025-09-04T00:00:00"/>
        <d v="2025-09-05T00:00:00"/>
        <d v="2025-09-08T00:00:00"/>
        <d v="2025-09-09T00:00:00"/>
        <d v="2025-09-11T00:00:00"/>
        <d v="2025-09-12T00:00:00"/>
        <d v="2025-09-14T00:00:00"/>
        <d v="2025-07-30T00:00:00" u="1"/>
        <d v="2025-08-01T00:00:00" u="1"/>
        <d v="2025-08-02T00:00:00" u="1"/>
        <d v="2025-08-03T00:00:00" u="1"/>
        <d v="2025-08-06T00:00:00" u="1"/>
        <d v="2025-08-07T00:00:00" u="1"/>
        <d v="2025-08-08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1T00:00:00" u="1"/>
        <d v="2025-08-22T00:00:00" u="1"/>
        <d v="2025-08-23T00:00:00" u="1"/>
        <d v="2025-08-24T00:00:00" u="1"/>
        <d v="2025-08-25T00:00:00" u="1"/>
        <d v="2025-07-24T00:00:00" u="1"/>
        <d v="2025-07-26T00:00:00" u="1"/>
        <d v="2025-07-28T00:00:00" u="1"/>
        <d v="2025-07-29T00:00:00" u="1"/>
        <d v="2025-07-27T00:00:00" u="1"/>
        <d v="2025-07-10T00:00:00" u="1"/>
        <d v="2025-07-12T00:00:00" u="1"/>
        <d v="2025-07-13T00:00:00" u="1"/>
        <d v="2025-07-15T00:00:00" u="1"/>
        <d v="2025-07-18T00:00:00" u="1"/>
        <d v="2025-07-20T00:00:00" u="1"/>
        <d v="2025-07-21T00:00:00" u="1"/>
        <d v="2025-07-22T00:00:00" u="1"/>
        <d v="2025-07-23T00:00:00" u="1"/>
        <d v="2025-07-14T00:00:00" u="1"/>
        <d v="2025-07-25T00:00:00" u="1"/>
        <d v="2025-07-11T00:00:00" u="1"/>
        <d v="2025-06-26T00:00:00" u="1"/>
        <d v="2025-06-27T00:00:00" u="1"/>
        <d v="2025-06-28T00:00:00" u="1"/>
        <d v="2025-06-29T00:00:00" u="1"/>
        <d v="2025-06-30T00:00:00" u="1"/>
        <d v="2025-07-02T00:00:00" u="1"/>
        <d v="2025-07-03T00:00:00" u="1"/>
        <d v="2025-07-04T00:00:00" u="1"/>
        <d v="2025-07-05T00:00:00" u="1"/>
        <d v="2025-07-07T00:00:00" u="1"/>
        <d v="2025-07-08T00:00:00" u="1"/>
        <d v="2025-07-09T00:00:00" u="1"/>
        <d v="2005-07-05T00:00:00" u="1"/>
      </sharedItems>
    </cacheField>
    <cacheField name="Nomor CS" numFmtId="1">
      <sharedItems containsSemiMixedTypes="0" containsString="0" containsNumber="1" containsInteger="1" minValue="6285119982061" maxValue="6287851627778" count="4">
        <n v="6287851627778"/>
        <n v="6285119990038"/>
        <n v="6285119982061" u="1"/>
        <n v="6285119982062" u="1"/>
      </sharedItems>
    </cacheField>
    <cacheField name="Total" numFmtId="42">
      <sharedItems containsSemiMixedTypes="0" containsString="0" containsNumber="1" containsInteger="1" minValue="50000" maxValue="260000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24.580699421298" createdVersion="8" refreshedVersion="8" minRefreshableVersion="3" recordCount="11" xr:uid="{34084370-704B-429F-9997-D067428F362A}">
  <cacheSource type="worksheet">
    <worksheetSource name="Table2"/>
  </cacheSource>
  <cacheFields count="9">
    <cacheField name="No" numFmtId="0">
      <sharedItems containsString="0" containsBlank="1" containsNumber="1" containsInteger="1" minValue="1" maxValue="10"/>
    </cacheField>
    <cacheField name="Donatur" numFmtId="0">
      <sharedItems containsBlank="1"/>
    </cacheField>
    <cacheField name="Whatsapp" numFmtId="1">
      <sharedItems containsString="0" containsBlank="1" containsNumber="1" containsInteger="1" minValue="6281220196396" maxValue="6285384921675"/>
    </cacheField>
    <cacheField name="Payment Account" numFmtId="0">
      <sharedItems containsBlank="1" containsMixedTypes="1" containsNumber="1" containsInteger="1" minValue="6281310663626" maxValue="6281310663626"/>
    </cacheField>
    <cacheField name="Date Blast" numFmtId="14">
      <sharedItems containsNonDate="0" containsDate="1" containsString="0" containsBlank="1" minDate="2025-09-08T00:00:00" maxDate="2025-09-21T00:00:00"/>
    </cacheField>
    <cacheField name="Date" numFmtId="14">
      <sharedItems containsNonDate="0" containsDate="1" containsString="0" containsBlank="1" minDate="2025-09-08T00:00:00" maxDate="2025-09-25T00:00:00" count="9">
        <d v="2025-09-08T00:00:00"/>
        <d v="2025-09-09T00:00:00"/>
        <d v="2025-09-11T00:00:00"/>
        <d v="2025-09-12T00:00:00"/>
        <d v="2025-09-14T00:00:00"/>
        <d v="2025-09-19T00:00:00"/>
        <d v="2025-09-20T00:00:00"/>
        <d v="2025-09-24T00:00:00"/>
        <m/>
      </sharedItems>
    </cacheField>
    <cacheField name="Nomor CS" numFmtId="1">
      <sharedItems containsString="0" containsBlank="1" containsNumber="1" containsInteger="1" minValue="6285119990038" maxValue="6285119990038" count="2">
        <n v="6285119990038"/>
        <m/>
      </sharedItems>
    </cacheField>
    <cacheField name="Total" numFmtId="42">
      <sharedItems containsString="0" containsBlank="1" containsNumber="1" containsInteger="1" minValue="50000" maxValue="300000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1"/>
    <s v="Winaryo"/>
    <n v="6281323058536"/>
    <x v="0"/>
    <x v="0"/>
    <x v="0"/>
    <x v="0"/>
    <n v="200000"/>
    <m/>
  </r>
  <r>
    <n v="2"/>
    <s v="Titi Murwani"/>
    <n v="62895704945944"/>
    <x v="1"/>
    <x v="1"/>
    <x v="0"/>
    <x v="0"/>
    <n v="100000"/>
    <m/>
  </r>
  <r>
    <n v="3"/>
    <s v="Iqbal Firdaus"/>
    <n v="6287758712611"/>
    <x v="0"/>
    <x v="2"/>
    <x v="1"/>
    <x v="0"/>
    <n v="50000"/>
    <m/>
  </r>
  <r>
    <n v="4"/>
    <s v="Hj Mimin Sari"/>
    <n v="6282214688293"/>
    <x v="1"/>
    <x v="3"/>
    <x v="2"/>
    <x v="0"/>
    <n v="100000"/>
    <m/>
  </r>
  <r>
    <n v="5"/>
    <s v="Lenny Ella Susana"/>
    <n v="6285886726077"/>
    <x v="0"/>
    <x v="4"/>
    <x v="2"/>
    <x v="0"/>
    <n v="100000"/>
    <m/>
  </r>
  <r>
    <n v="6"/>
    <s v="Yerli Elvi"/>
    <n v="6281380888430"/>
    <x v="2"/>
    <x v="4"/>
    <x v="2"/>
    <x v="0"/>
    <n v="100000"/>
    <m/>
  </r>
  <r>
    <n v="7"/>
    <s v="Sabta Adhitya"/>
    <n v="6282252125629"/>
    <x v="0"/>
    <x v="4"/>
    <x v="2"/>
    <x v="0"/>
    <n v="100000"/>
    <m/>
  </r>
  <r>
    <n v="8"/>
    <s v="Hj Leha"/>
    <n v="6282155532096"/>
    <x v="3"/>
    <x v="0"/>
    <x v="2"/>
    <x v="0"/>
    <n v="100000"/>
    <m/>
  </r>
  <r>
    <n v="9"/>
    <s v="Nur Hasanudin"/>
    <n v="6285397361589"/>
    <x v="1"/>
    <x v="4"/>
    <x v="2"/>
    <x v="0"/>
    <n v="113000"/>
    <m/>
  </r>
  <r>
    <n v="10"/>
    <s v="Tajudin"/>
    <n v="6285817693286"/>
    <x v="2"/>
    <x v="4"/>
    <x v="2"/>
    <x v="0"/>
    <n v="50000"/>
    <m/>
  </r>
  <r>
    <n v="11"/>
    <s v="Bpk Hasan"/>
    <n v="6282332999495"/>
    <x v="2"/>
    <x v="4"/>
    <x v="2"/>
    <x v="0"/>
    <n v="50000"/>
    <m/>
  </r>
  <r>
    <n v="12"/>
    <s v="Muh Kadri"/>
    <n v="6282187646234"/>
    <x v="3"/>
    <x v="3"/>
    <x v="2"/>
    <x v="0"/>
    <n v="100000"/>
    <m/>
  </r>
  <r>
    <n v="13"/>
    <s v="Siti Nuraeni"/>
    <n v="628997280726"/>
    <x v="3"/>
    <x v="4"/>
    <x v="3"/>
    <x v="0"/>
    <n v="50000"/>
    <m/>
  </r>
  <r>
    <n v="14"/>
    <s v="Helvi Deliana"/>
    <n v="6281362191145"/>
    <x v="1"/>
    <x v="4"/>
    <x v="2"/>
    <x v="0"/>
    <n v="50000"/>
    <m/>
  </r>
  <r>
    <n v="15"/>
    <s v="Achmad Kusnadi"/>
    <n v="628159493776"/>
    <x v="2"/>
    <x v="5"/>
    <x v="4"/>
    <x v="0"/>
    <n v="100000"/>
    <m/>
  </r>
  <r>
    <n v="16"/>
    <s v="Dewi Sri Rahayu"/>
    <n v="628980134698"/>
    <x v="2"/>
    <x v="5"/>
    <x v="5"/>
    <x v="0"/>
    <n v="100000"/>
    <m/>
  </r>
  <r>
    <n v="17"/>
    <s v="Samsul Bahri"/>
    <n v="6281212521758"/>
    <x v="3"/>
    <x v="5"/>
    <x v="6"/>
    <x v="0"/>
    <n v="2600000"/>
    <m/>
  </r>
  <r>
    <n v="18"/>
    <s v="Sayono"/>
    <n v="6285379921896"/>
    <x v="0"/>
    <x v="6"/>
    <x v="6"/>
    <x v="0"/>
    <n v="50000"/>
    <m/>
  </r>
  <r>
    <n v="19"/>
    <s v="Ishak Laode"/>
    <n v="6282259688947"/>
    <x v="2"/>
    <x v="7"/>
    <x v="7"/>
    <x v="0"/>
    <n v="150000"/>
    <m/>
  </r>
  <r>
    <n v="20"/>
    <s v="Yolanda"/>
    <n v="6287782162979"/>
    <x v="2"/>
    <x v="7"/>
    <x v="7"/>
    <x v="0"/>
    <n v="100000"/>
    <m/>
  </r>
  <r>
    <n v="21"/>
    <s v="Nita Arsanti"/>
    <n v="628889606779"/>
    <x v="4"/>
    <x v="7"/>
    <x v="7"/>
    <x v="0"/>
    <n v="50000"/>
    <m/>
  </r>
  <r>
    <n v="22"/>
    <s v="Yusmayani"/>
    <n v="6285763575795"/>
    <x v="1"/>
    <x v="5"/>
    <x v="7"/>
    <x v="0"/>
    <n v="50000"/>
    <m/>
  </r>
  <r>
    <n v="23"/>
    <s v="Slamet Wahyudi"/>
    <n v="6282280045655"/>
    <x v="2"/>
    <x v="7"/>
    <x v="7"/>
    <x v="0"/>
    <n v="100000"/>
    <m/>
  </r>
  <r>
    <n v="24"/>
    <s v="Dewi Sri Rahayu"/>
    <n v="628980134698"/>
    <x v="2"/>
    <x v="5"/>
    <x v="8"/>
    <x v="0"/>
    <n v="100000"/>
    <m/>
  </r>
  <r>
    <n v="25"/>
    <s v="Budi Utomo"/>
    <n v="6281220568186"/>
    <x v="1"/>
    <x v="8"/>
    <x v="8"/>
    <x v="1"/>
    <n v="300000"/>
    <m/>
  </r>
  <r>
    <n v="26"/>
    <s v="Eny Susiana"/>
    <n v="628995357321"/>
    <x v="3"/>
    <x v="8"/>
    <x v="8"/>
    <x v="0"/>
    <n v="50000"/>
    <m/>
  </r>
  <r>
    <n v="27"/>
    <s v="Muh Arief"/>
    <n v="6281312121711"/>
    <x v="2"/>
    <x v="9"/>
    <x v="9"/>
    <x v="1"/>
    <n v="100000"/>
    <m/>
  </r>
  <r>
    <n v="28"/>
    <s v="Nena Trisnawati"/>
    <n v="6282315984480"/>
    <x v="5"/>
    <x v="9"/>
    <x v="9"/>
    <x v="0"/>
    <n v="50000"/>
    <m/>
  </r>
  <r>
    <n v="29"/>
    <s v="Maratul Hasanah"/>
    <n v="6282338401859"/>
    <x v="3"/>
    <x v="9"/>
    <x v="9"/>
    <x v="0"/>
    <n v="50000"/>
    <m/>
  </r>
  <r>
    <n v="30"/>
    <s v="Rochmad Hermansyah"/>
    <n v="6283151171721"/>
    <x v="3"/>
    <x v="9"/>
    <x v="9"/>
    <x v="0"/>
    <n v="100000"/>
    <m/>
  </r>
  <r>
    <n v="31"/>
    <s v="Anton Cahyadi"/>
    <n v="6281318389377"/>
    <x v="3"/>
    <x v="9"/>
    <x v="9"/>
    <x v="1"/>
    <n v="75000"/>
    <m/>
  </r>
  <r>
    <n v="32"/>
    <s v="Edy Suprapto"/>
    <n v="6282334740312"/>
    <x v="3"/>
    <x v="10"/>
    <x v="10"/>
    <x v="0"/>
    <n v="300000"/>
    <m/>
  </r>
  <r>
    <n v="33"/>
    <s v="Sumarsono"/>
    <n v="62881025578418"/>
    <x v="2"/>
    <x v="10"/>
    <x v="10"/>
    <x v="0"/>
    <n v="50000"/>
    <m/>
  </r>
  <r>
    <n v="34"/>
    <s v="Yusmayani"/>
    <n v="6285763575795"/>
    <x v="1"/>
    <x v="5"/>
    <x v="11"/>
    <x v="0"/>
    <n v="50000"/>
    <m/>
  </r>
  <r>
    <n v="35"/>
    <s v="Nani Nuryati"/>
    <n v="6282371769494"/>
    <x v="2"/>
    <x v="9"/>
    <x v="11"/>
    <x v="0"/>
    <n v="100000"/>
    <m/>
  </r>
  <r>
    <n v="36"/>
    <s v="Ridho Ibrahim Fauzy"/>
    <n v="6285960224557"/>
    <x v="0"/>
    <x v="10"/>
    <x v="11"/>
    <x v="0"/>
    <n v="50000"/>
    <m/>
  </r>
  <r>
    <n v="37"/>
    <s v="Hawari"/>
    <n v="6285384921675"/>
    <x v="3"/>
    <x v="10"/>
    <x v="10"/>
    <x v="1"/>
    <n v="50000"/>
    <m/>
  </r>
  <r>
    <n v="38"/>
    <s v="Heni Sulisttyaningsih"/>
    <n v="6287899303567"/>
    <x v="2"/>
    <x v="11"/>
    <x v="11"/>
    <x v="0"/>
    <n v="100000"/>
    <m/>
  </r>
  <r>
    <n v="39"/>
    <s v="Ahmad Rofik"/>
    <n v="6282129968287"/>
    <x v="4"/>
    <x v="12"/>
    <x v="11"/>
    <x v="0"/>
    <n v="100000"/>
    <m/>
  </r>
  <r>
    <n v="40"/>
    <s v="Ruslinarsi"/>
    <n v="6285372870430"/>
    <x v="0"/>
    <x v="13"/>
    <x v="11"/>
    <x v="1"/>
    <n v="100000"/>
    <m/>
  </r>
  <r>
    <n v="41"/>
    <s v="Hj Leha"/>
    <n v="6282155532096"/>
    <x v="3"/>
    <x v="0"/>
    <x v="11"/>
    <x v="0"/>
    <n v="100000"/>
    <m/>
  </r>
  <r>
    <n v="42"/>
    <s v="Neny emillasari"/>
    <n v="62895374284808"/>
    <x v="0"/>
    <x v="11"/>
    <x v="11"/>
    <x v="0"/>
    <n v="250000"/>
    <m/>
  </r>
  <r>
    <n v="43"/>
    <s v="Asrarudin"/>
    <n v="6285338528200"/>
    <x v="2"/>
    <x v="11"/>
    <x v="11"/>
    <x v="0"/>
    <n v="100000"/>
    <m/>
  </r>
  <r>
    <n v="44"/>
    <s v="Tumino"/>
    <n v="6285293295661"/>
    <x v="3"/>
    <x v="14"/>
    <x v="12"/>
    <x v="1"/>
    <n v="50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1"/>
    <s v="Budi Utomo"/>
    <n v="6281220568186"/>
    <s v="BNI (CS) 5005003227"/>
    <d v="2025-09-08T00:00:00"/>
    <x v="0"/>
    <x v="0"/>
    <n v="300000"/>
    <m/>
  </r>
  <r>
    <n v="2"/>
    <s v="Muh Arief"/>
    <n v="6281312121711"/>
    <s v="Mandiri (CS) 1410029052222 "/>
    <d v="2025-09-09T00:00:00"/>
    <x v="1"/>
    <x v="0"/>
    <n v="100000"/>
    <m/>
  </r>
  <r>
    <n v="3"/>
    <s v="Anton Cahyadi"/>
    <n v="6281318389377"/>
    <s v="BRI (CS) 115901000648567"/>
    <d v="2025-09-09T00:00:00"/>
    <x v="1"/>
    <x v="0"/>
    <n v="75000"/>
    <m/>
  </r>
  <r>
    <n v="4"/>
    <s v="Hawari"/>
    <n v="6285384921675"/>
    <s v="BRI (CS) 115901000648567"/>
    <d v="2025-09-11T00:00:00"/>
    <x v="2"/>
    <x v="0"/>
    <n v="50000"/>
    <m/>
  </r>
  <r>
    <n v="5"/>
    <s v="Ruslinarsi"/>
    <n v="6285372870430"/>
    <s v="BSI (CS) 7316126698"/>
    <d v="2025-09-10T00:00:00"/>
    <x v="3"/>
    <x v="0"/>
    <n v="100000"/>
    <m/>
  </r>
  <r>
    <n v="6"/>
    <s v="Tumino"/>
    <n v="6285293295661"/>
    <s v="BRI (CS) 115901000648567"/>
    <d v="2025-09-13T00:00:00"/>
    <x v="4"/>
    <x v="0"/>
    <n v="50000"/>
    <m/>
  </r>
  <r>
    <n v="7"/>
    <s v="Jajang Kurnia"/>
    <n v="6281220196396"/>
    <s v="BNI (CS) 5005003227"/>
    <d v="2025-09-19T00:00:00"/>
    <x v="5"/>
    <x v="0"/>
    <n v="100000"/>
    <m/>
  </r>
  <r>
    <n v="8"/>
    <s v="Anung Nurwulan"/>
    <n v="6281310663626"/>
    <s v="Mandiri (CS) 1410029052222 "/>
    <d v="2025-09-19T00:00:00"/>
    <x v="5"/>
    <x v="0"/>
    <n v="100000"/>
    <m/>
  </r>
  <r>
    <n v="9"/>
    <s v="Marwanto"/>
    <n v="6281314637230"/>
    <s v="Mandiri (CS) 1410029052222 "/>
    <d v="2025-09-20T00:00:00"/>
    <x v="6"/>
    <x v="0"/>
    <n v="100000"/>
    <m/>
  </r>
  <r>
    <n v="10"/>
    <s v="Anung Nurwulan"/>
    <n v="6281310663626"/>
    <n v="6281310663626"/>
    <d v="2025-09-20T00:00:00"/>
    <x v="7"/>
    <x v="0"/>
    <n v="100000"/>
    <m/>
  </r>
  <r>
    <m/>
    <m/>
    <m/>
    <m/>
    <m/>
    <x v="8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AE1A7A-B9C8-4390-8ECE-2E1D7BE2D4E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5" firstHeaderRow="1" firstDataRow="3" firstDataCol="1"/>
  <pivotFields count="9">
    <pivotField dataField="1" showAll="0"/>
    <pivotField showAll="0"/>
    <pivotField numFmtId="1"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8"/>
        <item x="7"/>
        <item t="default"/>
      </items>
    </pivotField>
    <pivotField axis="axisCol" numFmtId="1" showAll="0">
      <items count="3">
        <item x="0"/>
        <item x="1"/>
        <item t="default"/>
      </items>
    </pivotField>
    <pivotField dataField="1" numFmtId="42" showAll="0"/>
    <pivotField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-2"/>
    <field x="6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dataFields count="2">
    <dataField name="Count of No" fld="0" subtotal="count" baseField="0" baseItem="1"/>
    <dataField name="Sum of Total" fld="7" baseField="0" baseItem="0" numFmtId="4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023B9C-EDB3-4C5D-9F99-720088293457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K17" firstHeaderRow="0" firstDataRow="1" firstDataCol="1"/>
  <pivotFields count="9">
    <pivotField dataField="1" showAll="0"/>
    <pivotField showAll="0"/>
    <pivotField showAll="0"/>
    <pivotField showAll="0"/>
    <pivotField axis="axisRow" showAll="0">
      <items count="44">
        <item m="1" x="38"/>
        <item m="1" x="39"/>
        <item m="1" x="21"/>
        <item m="1" x="40"/>
        <item m="1" x="41"/>
        <item m="1" x="35"/>
        <item m="1" x="18"/>
        <item m="1" x="36"/>
        <item m="1" x="16"/>
        <item m="1" x="17"/>
        <item m="1" x="37"/>
        <item m="1" x="27"/>
        <item m="1" x="20"/>
        <item m="1" x="19"/>
        <item m="1" x="25"/>
        <item m="1" x="22"/>
        <item m="1" x="23"/>
        <item m="1" x="24"/>
        <item m="1" x="33"/>
        <item m="1" x="26"/>
        <item m="1" x="28"/>
        <item m="1" x="30"/>
        <item m="1" x="29"/>
        <item x="1"/>
        <item m="1" x="31"/>
        <item m="1" x="32"/>
        <item x="2"/>
        <item m="1" x="34"/>
        <item x="6"/>
        <item x="5"/>
        <item m="1" x="15"/>
        <item x="3"/>
        <item x="0"/>
        <item x="4"/>
        <item m="1" x="42"/>
        <item x="7"/>
        <item x="8"/>
        <item x="9"/>
        <item x="10"/>
        <item x="11"/>
        <item x="12"/>
        <item x="13"/>
        <item x="14"/>
        <item t="default"/>
      </items>
    </pivotField>
    <pivotField showAll="0" sortType="ascending"/>
    <pivotField showAll="0"/>
    <pivotField dataField="1" showAll="0"/>
    <pivotField showAll="0"/>
  </pivotFields>
  <rowFields count="1">
    <field x="4"/>
  </rowFields>
  <rowItems count="16">
    <i>
      <x v="23"/>
    </i>
    <i>
      <x v="26"/>
    </i>
    <i>
      <x v="28"/>
    </i>
    <i>
      <x v="29"/>
    </i>
    <i>
      <x v="31"/>
    </i>
    <i>
      <x v="32"/>
    </i>
    <i>
      <x v="33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o" fld="0" subtotal="count" baseField="5" baseItem="0" numFmtId="1"/>
    <dataField name="Sum of Total" fld="7" baseField="0" baseItem="0" numFmtId="164"/>
  </dataFields>
  <formats count="3">
    <format dxfId="6">
      <pivotArea outline="0" collapsedLevelsAreSubtotals="1" fieldPosition="0"/>
    </format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AB7665-A858-4DD5-B720-4BF585B7140A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E4:G42" firstHeaderRow="0" firstDataRow="1" firstDataCol="1" rowPageCount="1" colPageCount="1"/>
  <pivotFields count="9">
    <pivotField showAll="0"/>
    <pivotField dataField="1" showAll="0"/>
    <pivotField showAll="0"/>
    <pivotField axis="axisRow" showAll="0">
      <items count="19">
        <item m="1" x="13"/>
        <item m="1" x="14"/>
        <item m="1" x="16"/>
        <item m="1" x="15"/>
        <item m="1" x="6"/>
        <item m="1" x="17"/>
        <item m="1" x="9"/>
        <item m="1" x="10"/>
        <item m="1" x="11"/>
        <item m="1" x="12"/>
        <item x="2"/>
        <item x="3"/>
        <item x="0"/>
        <item x="1"/>
        <item x="4"/>
        <item m="1" x="8"/>
        <item m="1" x="7"/>
        <item x="5"/>
        <item t="default"/>
      </items>
    </pivotField>
    <pivotField axis="axisPage" multipleItemSelectionAllowed="1" showAll="0">
      <items count="44">
        <item m="1" x="38"/>
        <item m="1" x="39"/>
        <item m="1" x="21"/>
        <item m="1" x="40"/>
        <item m="1" x="41"/>
        <item m="1" x="35"/>
        <item m="1" x="18"/>
        <item m="1" x="36"/>
        <item m="1" x="16"/>
        <item m="1" x="17"/>
        <item m="1" x="37"/>
        <item m="1" x="27"/>
        <item m="1" x="20"/>
        <item m="1" x="19"/>
        <item m="1" x="25"/>
        <item m="1" x="22"/>
        <item m="1" x="23"/>
        <item m="1" x="24"/>
        <item m="1" x="33"/>
        <item m="1" x="26"/>
        <item m="1" x="28"/>
        <item m="1" x="30"/>
        <item m="1" x="29"/>
        <item x="1"/>
        <item m="1" x="31"/>
        <item m="1" x="32"/>
        <item x="2"/>
        <item m="1" x="34"/>
        <item x="6"/>
        <item x="5"/>
        <item m="1" x="15"/>
        <item x="3"/>
        <item x="0"/>
        <item x="4"/>
        <item m="1" x="42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 sortType="descending">
      <items count="66">
        <item h="1" x="12"/>
        <item h="1" x="11"/>
        <item h="1" x="10"/>
        <item h="1" x="9"/>
        <item h="1" x="8"/>
        <item x="7"/>
        <item x="6"/>
        <item x="5"/>
        <item x="4"/>
        <item x="3"/>
        <item x="2"/>
        <item x="1"/>
        <item x="0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m="1" x="15"/>
        <item m="1" x="14"/>
        <item m="1" x="13"/>
        <item m="1" x="38"/>
        <item m="1" x="37"/>
        <item m="1" x="39"/>
        <item m="1" x="36"/>
        <item m="1" x="50"/>
        <item m="1" x="35"/>
        <item m="1" x="48"/>
        <item m="1" x="47"/>
        <item m="1" x="46"/>
        <item m="1" x="45"/>
        <item m="1" x="44"/>
        <item m="1" x="43"/>
        <item m="1" x="49"/>
        <item m="1" x="42"/>
        <item m="1" x="41"/>
        <item m="1" x="51"/>
        <item m="1" x="40"/>
        <item m="1" x="63"/>
        <item m="1" x="62"/>
        <item m="1" x="61"/>
        <item m="1" x="60"/>
        <item m="1" x="59"/>
        <item m="1" x="58"/>
        <item m="1" x="57"/>
        <item m="1" x="56"/>
        <item m="1" x="55"/>
        <item m="1" x="54"/>
        <item m="1" x="53"/>
        <item m="1" x="52"/>
        <item m="1" x="64"/>
        <item t="default"/>
      </items>
    </pivotField>
    <pivotField axis="axisRow" multipleItemSelectionAllowed="1" showAll="0">
      <items count="5">
        <item m="1" x="2"/>
        <item m="1" x="3"/>
        <item x="0"/>
        <item x="1"/>
        <item t="default"/>
      </items>
    </pivotField>
    <pivotField dataField="1" showAll="0"/>
    <pivotField showAll="0"/>
  </pivotFields>
  <rowFields count="3">
    <field x="5"/>
    <field x="3"/>
    <field x="6"/>
  </rowFields>
  <rowItems count="38">
    <i>
      <x v="5"/>
    </i>
    <i r="1">
      <x v="10"/>
    </i>
    <i r="2">
      <x v="2"/>
    </i>
    <i r="1">
      <x v="13"/>
    </i>
    <i r="2">
      <x v="2"/>
    </i>
    <i r="1">
      <x v="14"/>
    </i>
    <i r="2">
      <x v="2"/>
    </i>
    <i>
      <x v="6"/>
    </i>
    <i r="1">
      <x v="11"/>
    </i>
    <i r="2">
      <x v="2"/>
    </i>
    <i r="1">
      <x v="12"/>
    </i>
    <i r="2">
      <x v="2"/>
    </i>
    <i>
      <x v="7"/>
    </i>
    <i r="1">
      <x v="10"/>
    </i>
    <i r="2">
      <x v="2"/>
    </i>
    <i>
      <x v="8"/>
    </i>
    <i r="1">
      <x v="10"/>
    </i>
    <i r="2">
      <x v="2"/>
    </i>
    <i>
      <x v="9"/>
    </i>
    <i r="1">
      <x v="11"/>
    </i>
    <i r="2">
      <x v="2"/>
    </i>
    <i>
      <x v="10"/>
    </i>
    <i r="1">
      <x v="10"/>
    </i>
    <i r="2">
      <x v="2"/>
    </i>
    <i r="1">
      <x v="11"/>
    </i>
    <i r="2">
      <x v="2"/>
    </i>
    <i r="1">
      <x v="12"/>
    </i>
    <i r="2">
      <x v="2"/>
    </i>
    <i r="1">
      <x v="13"/>
    </i>
    <i r="2">
      <x v="2"/>
    </i>
    <i>
      <x v="11"/>
    </i>
    <i r="1">
      <x v="12"/>
    </i>
    <i r="2">
      <x v="2"/>
    </i>
    <i>
      <x v="12"/>
    </i>
    <i r="1">
      <x v="12"/>
    </i>
    <i r="2">
      <x v="2"/>
    </i>
    <i r="1">
      <x v="13"/>
    </i>
    <i r="2">
      <x v="2"/>
    </i>
  </rowItems>
  <colFields count="1">
    <field x="-2"/>
  </colFields>
  <colItems count="2">
    <i>
      <x/>
    </i>
    <i i="1">
      <x v="1"/>
    </i>
  </colItems>
  <pageFields count="1">
    <pageField fld="4" hier="-1"/>
  </pageFields>
  <dataFields count="2">
    <dataField name="Count of Donatur" fld="1" subtotal="count" baseField="0" baseItem="0"/>
    <dataField name="Sum of Total" fld="7" baseField="0" baseItem="0"/>
  </dataFields>
  <formats count="3">
    <format dxfId="9">
      <pivotArea outline="0" collapsedLevelsAreSubtotals="1" fieldPosition="0"/>
    </format>
    <format dxfId="8">
      <pivotArea dataOnly="0" outline="0" fieldPosition="0">
        <references count="1">
          <reference field="4294967294" count="1">
            <x v="0"/>
          </reference>
        </references>
      </pivotArea>
    </format>
    <format dxfId="7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4FC6A-0ABA-44C3-BC85-5C4518B57214}" name="PivotTable1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anggal">
  <location ref="A3:C45" firstHeaderRow="0" firstDataRow="1" firstDataCol="1"/>
  <pivotFields count="9">
    <pivotField showAll="0"/>
    <pivotField dataField="1" showAll="0"/>
    <pivotField showAll="0"/>
    <pivotField axis="axisRow" showAll="0">
      <items count="19">
        <item m="1" x="13"/>
        <item m="1" x="14"/>
        <item m="1" x="16"/>
        <item m="1" x="15"/>
        <item m="1" x="6"/>
        <item m="1" x="17"/>
        <item m="1" x="9"/>
        <item m="1" x="10"/>
        <item m="1" x="11"/>
        <item m="1" x="12"/>
        <item x="2"/>
        <item x="3"/>
        <item x="0"/>
        <item x="1"/>
        <item x="4"/>
        <item m="1" x="8"/>
        <item m="1" x="7"/>
        <item x="5"/>
        <item t="default"/>
      </items>
    </pivotField>
    <pivotField showAll="0"/>
    <pivotField axis="axisRow" showAll="0" sortType="descending">
      <items count="66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m="1" x="34"/>
        <item m="1" x="33"/>
        <item m="1" x="32"/>
        <item m="1" x="31"/>
        <item m="1" x="30"/>
        <item m="1" x="29"/>
        <item m="1" x="28"/>
        <item m="1" x="27"/>
        <item m="1" x="26"/>
        <item m="1" x="25"/>
        <item m="1" x="24"/>
        <item m="1" x="23"/>
        <item m="1" x="22"/>
        <item m="1" x="21"/>
        <item m="1" x="20"/>
        <item m="1" x="19"/>
        <item m="1" x="18"/>
        <item m="1" x="17"/>
        <item m="1" x="16"/>
        <item m="1" x="15"/>
        <item m="1" x="14"/>
        <item m="1" x="13"/>
        <item m="1" x="38"/>
        <item m="1" x="37"/>
        <item m="1" x="39"/>
        <item m="1" x="36"/>
        <item m="1" x="50"/>
        <item m="1" x="35"/>
        <item m="1" x="48"/>
        <item m="1" x="47"/>
        <item m="1" x="46"/>
        <item m="1" x="45"/>
        <item m="1" x="44"/>
        <item m="1" x="43"/>
        <item m="1" x="49"/>
        <item m="1" x="42"/>
        <item m="1" x="41"/>
        <item m="1" x="51"/>
        <item m="1" x="40"/>
        <item m="1" x="63"/>
        <item m="1" x="62"/>
        <item m="1" x="61"/>
        <item m="1" x="60"/>
        <item m="1" x="59"/>
        <item m="1" x="58"/>
        <item m="1" x="57"/>
        <item m="1" x="56"/>
        <item m="1" x="55"/>
        <item m="1" x="54"/>
        <item m="1" x="53"/>
        <item m="1" x="52"/>
        <item m="1" x="64"/>
        <item t="default"/>
      </items>
    </pivotField>
    <pivotField showAll="0"/>
    <pivotField dataField="1" showAll="0"/>
    <pivotField showAll="0"/>
  </pivotFields>
  <rowFields count="2">
    <field x="5"/>
    <field x="3"/>
  </rowFields>
  <rowItems count="42">
    <i>
      <x/>
    </i>
    <i r="1">
      <x v="11"/>
    </i>
    <i>
      <x v="1"/>
    </i>
    <i r="1">
      <x v="10"/>
    </i>
    <i r="1">
      <x v="11"/>
    </i>
    <i r="1">
      <x v="12"/>
    </i>
    <i r="1">
      <x v="13"/>
    </i>
    <i r="1">
      <x v="14"/>
    </i>
    <i>
      <x v="2"/>
    </i>
    <i r="1">
      <x v="10"/>
    </i>
    <i r="1">
      <x v="11"/>
    </i>
    <i>
      <x v="3"/>
    </i>
    <i r="1">
      <x v="10"/>
    </i>
    <i r="1">
      <x v="11"/>
    </i>
    <i r="1">
      <x v="17"/>
    </i>
    <i>
      <x v="4"/>
    </i>
    <i r="1">
      <x v="10"/>
    </i>
    <i r="1">
      <x v="11"/>
    </i>
    <i r="1">
      <x v="13"/>
    </i>
    <i>
      <x v="5"/>
    </i>
    <i r="1">
      <x v="10"/>
    </i>
    <i r="1">
      <x v="13"/>
    </i>
    <i r="1">
      <x v="14"/>
    </i>
    <i>
      <x v="6"/>
    </i>
    <i r="1">
      <x v="11"/>
    </i>
    <i r="1">
      <x v="12"/>
    </i>
    <i>
      <x v="7"/>
    </i>
    <i r="1">
      <x v="10"/>
    </i>
    <i>
      <x v="8"/>
    </i>
    <i r="1">
      <x v="10"/>
    </i>
    <i>
      <x v="9"/>
    </i>
    <i r="1">
      <x v="11"/>
    </i>
    <i>
      <x v="10"/>
    </i>
    <i r="1">
      <x v="10"/>
    </i>
    <i r="1">
      <x v="11"/>
    </i>
    <i r="1">
      <x v="12"/>
    </i>
    <i r="1">
      <x v="13"/>
    </i>
    <i>
      <x v="11"/>
    </i>
    <i r="1">
      <x v="12"/>
    </i>
    <i>
      <x v="12"/>
    </i>
    <i r="1">
      <x v="12"/>
    </i>
    <i r="1">
      <x v="13"/>
    </i>
  </rowItems>
  <colFields count="1">
    <field x="-2"/>
  </colFields>
  <colItems count="2">
    <i>
      <x/>
    </i>
    <i i="1">
      <x v="1"/>
    </i>
  </colItems>
  <dataFields count="2">
    <dataField name="Count of Donatur" fld="1" subtotal="count" baseField="0" baseItem="0"/>
    <dataField name="Sum of Total" fld="7" baseField="0" baseItem="0"/>
  </dataFields>
  <formats count="2">
    <format dxfId="11">
      <pivotArea outline="0" collapsedLevelsAreSubtotals="1" fieldPosition="0"/>
    </format>
    <format dxfId="10">
      <pivotArea dataOnly="0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8DD3CD-12DD-46B2-AA62-868E1E682949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:O15" firstHeaderRow="0" firstDataRow="1" firstDataCol="1"/>
  <pivotFields count="9">
    <pivotField dataField="1" showAll="0"/>
    <pivotField showAll="0"/>
    <pivotField showAll="0"/>
    <pivotField showAll="0"/>
    <pivotField showAll="0"/>
    <pivotField axis="axisRow" showAll="0" sortType="ascending">
      <items count="66">
        <item m="1" x="64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40"/>
        <item m="1" x="51"/>
        <item m="1" x="41"/>
        <item m="1" x="42"/>
        <item m="1" x="49"/>
        <item m="1" x="43"/>
        <item m="1" x="44"/>
        <item m="1" x="45"/>
        <item m="1" x="46"/>
        <item m="1" x="47"/>
        <item m="1" x="48"/>
        <item m="1" x="35"/>
        <item m="1" x="50"/>
        <item m="1" x="36"/>
        <item m="1" x="39"/>
        <item m="1" x="37"/>
        <item m="1" x="38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dataField="1" showAll="0"/>
    <pivotField showAll="0"/>
  </pivotFields>
  <rowFields count="1">
    <field x="5"/>
  </rowFields>
  <rowItems count="14"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No" fld="0" subtotal="count" baseField="5" baseItem="0" numFmtId="1"/>
    <dataField name="Sum of Total" fld="7" baseField="0" baseItem="0" numFmtId="164"/>
  </dataFields>
  <formats count="3">
    <format dxfId="14">
      <pivotArea outline="0" collapsedLevelsAreSubtotals="1" fieldPosition="0"/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7A1CBD-94E9-4C40-B3CF-006CBE0D4523}" name="Table2" displayName="Table2" ref="A1:I12" totalsRowShown="0">
  <autoFilter ref="A1:I12" xr:uid="{25625092-F70D-40D9-B38A-D8820FE54B33}"/>
  <tableColumns count="9">
    <tableColumn id="1" xr3:uid="{DB5A71C1-727D-4CBC-99B8-4A62FEC19BC2}" name="No" dataDxfId="21"/>
    <tableColumn id="2" xr3:uid="{C32CA508-0BBC-4A1F-B0B4-91B5103C3734}" name="Donatur" dataDxfId="20"/>
    <tableColumn id="3" xr3:uid="{867B9D00-225F-45A4-A7D4-179594DA3B74}" name="Whatsapp" dataDxfId="19"/>
    <tableColumn id="4" xr3:uid="{9250AEB0-EBB5-4B39-BF37-8D973BB881F4}" name="Payment Account" dataDxfId="18"/>
    <tableColumn id="9" xr3:uid="{673D4DC7-E4DC-4840-8927-71E28B4A7BEB}" name="Date Blast" dataDxfId="1"/>
    <tableColumn id="5" xr3:uid="{D91FA591-2BBA-4E4F-9332-DFD6A73DF49B}" name="Date" dataDxfId="0"/>
    <tableColumn id="6" xr3:uid="{BB32C869-4DA3-49FF-96E8-8041A62045DB}" name="Nomor CS" dataDxfId="17"/>
    <tableColumn id="7" xr3:uid="{CD9EA962-70DA-4172-A2B3-5685408E35FF}" name="Total" dataDxfId="16" dataCellStyle="Currency [0]"/>
    <tableColumn id="10" xr3:uid="{F6A36CF6-5797-48D1-AA60-8236A14E5662}" name="Column1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644C3-28FA-4F78-AF9A-EA76D5CF56DB}">
  <dimension ref="A1:S60"/>
  <sheetViews>
    <sheetView tabSelected="1" zoomScaleNormal="100" workbookViewId="0">
      <selection activeCell="D12" sqref="D12"/>
    </sheetView>
  </sheetViews>
  <sheetFormatPr defaultRowHeight="15" x14ac:dyDescent="0.25"/>
  <cols>
    <col min="1" max="1" width="5.5703125" customWidth="1"/>
    <col min="2" max="2" width="39" customWidth="1"/>
    <col min="3" max="3" width="16.140625" style="1" bestFit="1" customWidth="1"/>
    <col min="4" max="4" width="25.42578125" bestFit="1" customWidth="1"/>
    <col min="5" max="5" width="11.7109375" style="26" bestFit="1" customWidth="1"/>
    <col min="6" max="6" width="10.7109375" style="26" bestFit="1" customWidth="1"/>
    <col min="7" max="7" width="13.85546875" style="1" bestFit="1" customWidth="1"/>
    <col min="8" max="8" width="12.7109375" style="18" customWidth="1"/>
    <col min="9" max="9" width="11.140625" hidden="1" customWidth="1"/>
    <col min="10" max="10" width="31" bestFit="1" customWidth="1"/>
    <col min="11" max="11" width="27.85546875" bestFit="1" customWidth="1"/>
    <col min="12" max="12" width="13.85546875" customWidth="1"/>
  </cols>
  <sheetData>
    <row r="1" spans="1:19" x14ac:dyDescent="0.25">
      <c r="A1" t="s">
        <v>0</v>
      </c>
      <c r="B1" t="s">
        <v>1</v>
      </c>
      <c r="C1" s="1" t="s">
        <v>2</v>
      </c>
      <c r="D1" t="s">
        <v>3</v>
      </c>
      <c r="E1" s="26" t="s">
        <v>4</v>
      </c>
      <c r="F1" s="26" t="s">
        <v>5</v>
      </c>
      <c r="G1" s="1" t="s">
        <v>6</v>
      </c>
      <c r="H1" s="2" t="s">
        <v>7</v>
      </c>
      <c r="I1" t="s">
        <v>8</v>
      </c>
    </row>
    <row r="2" spans="1:19" x14ac:dyDescent="0.25">
      <c r="A2" s="3">
        <v>1</v>
      </c>
      <c r="B2" s="3" t="s">
        <v>22</v>
      </c>
      <c r="C2" s="7">
        <v>6281220568186</v>
      </c>
      <c r="D2" s="4" t="s">
        <v>10</v>
      </c>
      <c r="E2" s="27">
        <v>45908</v>
      </c>
      <c r="F2" s="27">
        <v>45908</v>
      </c>
      <c r="G2" s="5">
        <v>6285119990038</v>
      </c>
      <c r="H2" s="8">
        <v>300000</v>
      </c>
      <c r="I2" s="4"/>
    </row>
    <row r="3" spans="1:19" x14ac:dyDescent="0.25">
      <c r="A3" s="3">
        <v>2</v>
      </c>
      <c r="B3" s="3" t="s">
        <v>23</v>
      </c>
      <c r="C3" s="7">
        <v>6281312121711</v>
      </c>
      <c r="D3" s="4" t="s">
        <v>13</v>
      </c>
      <c r="E3" s="27">
        <v>45909</v>
      </c>
      <c r="F3" s="27">
        <v>45909</v>
      </c>
      <c r="G3" s="5">
        <v>6285119990038</v>
      </c>
      <c r="H3" s="8">
        <v>100000</v>
      </c>
      <c r="I3" s="4"/>
      <c r="R3" s="25"/>
      <c r="S3" s="25"/>
    </row>
    <row r="4" spans="1:19" x14ac:dyDescent="0.25">
      <c r="A4" s="3">
        <v>3</v>
      </c>
      <c r="B4" s="10" t="s">
        <v>24</v>
      </c>
      <c r="C4" s="11">
        <v>6281318389377</v>
      </c>
      <c r="D4" s="12" t="s">
        <v>15</v>
      </c>
      <c r="E4" s="27">
        <v>45909</v>
      </c>
      <c r="F4" s="27">
        <v>45909</v>
      </c>
      <c r="G4" s="15">
        <v>6285119990038</v>
      </c>
      <c r="H4" s="13">
        <v>75000</v>
      </c>
      <c r="I4" s="12"/>
    </row>
    <row r="5" spans="1:19" x14ac:dyDescent="0.25">
      <c r="A5" s="3">
        <v>4</v>
      </c>
      <c r="B5" s="10" t="s">
        <v>25</v>
      </c>
      <c r="C5" s="11">
        <v>6285384921675</v>
      </c>
      <c r="D5" s="12" t="s">
        <v>15</v>
      </c>
      <c r="E5" s="28">
        <v>45911</v>
      </c>
      <c r="F5" s="28">
        <v>45911</v>
      </c>
      <c r="G5" s="15">
        <v>6285119990038</v>
      </c>
      <c r="H5" s="13">
        <v>50000</v>
      </c>
      <c r="I5" s="12"/>
      <c r="J5" t="s">
        <v>11</v>
      </c>
      <c r="K5" s="6" t="s">
        <v>12</v>
      </c>
    </row>
    <row r="6" spans="1:19" x14ac:dyDescent="0.25">
      <c r="A6" s="3">
        <v>5</v>
      </c>
      <c r="B6" s="10" t="s">
        <v>26</v>
      </c>
      <c r="C6" s="11">
        <v>6285372870430</v>
      </c>
      <c r="D6" s="12" t="s">
        <v>9</v>
      </c>
      <c r="E6" s="28">
        <v>45910</v>
      </c>
      <c r="F6" s="28">
        <v>45912</v>
      </c>
      <c r="G6" s="15">
        <v>6285119990038</v>
      </c>
      <c r="H6" s="13">
        <v>100000</v>
      </c>
      <c r="I6" s="12"/>
      <c r="J6" t="s">
        <v>13</v>
      </c>
      <c r="K6" s="6" t="s">
        <v>11</v>
      </c>
    </row>
    <row r="7" spans="1:19" x14ac:dyDescent="0.25">
      <c r="A7" s="3">
        <v>6</v>
      </c>
      <c r="B7" s="10" t="s">
        <v>27</v>
      </c>
      <c r="C7" s="11">
        <v>6285293295661</v>
      </c>
      <c r="D7" s="12" t="s">
        <v>15</v>
      </c>
      <c r="E7" s="28">
        <v>45913</v>
      </c>
      <c r="F7" s="28">
        <v>45914</v>
      </c>
      <c r="G7" s="15">
        <v>6285119990038</v>
      </c>
      <c r="H7" s="13">
        <v>50000</v>
      </c>
      <c r="I7" s="12"/>
      <c r="J7" t="s">
        <v>14</v>
      </c>
      <c r="K7" s="6" t="s">
        <v>13</v>
      </c>
    </row>
    <row r="8" spans="1:19" x14ac:dyDescent="0.25">
      <c r="A8" s="3">
        <v>7</v>
      </c>
      <c r="B8" s="10" t="s">
        <v>35</v>
      </c>
      <c r="C8" s="11">
        <v>6281220196396</v>
      </c>
      <c r="D8" s="12" t="s">
        <v>10</v>
      </c>
      <c r="E8" s="28">
        <v>45919</v>
      </c>
      <c r="F8" s="28">
        <v>45919</v>
      </c>
      <c r="G8" s="15">
        <v>6285119990038</v>
      </c>
      <c r="H8" s="13">
        <v>100000</v>
      </c>
      <c r="I8" s="12"/>
      <c r="J8" t="s">
        <v>10</v>
      </c>
      <c r="K8" s="6"/>
    </row>
    <row r="9" spans="1:19" x14ac:dyDescent="0.25">
      <c r="A9" s="3">
        <v>8</v>
      </c>
      <c r="B9" s="3" t="s">
        <v>41</v>
      </c>
      <c r="C9" s="7">
        <v>6281310663626</v>
      </c>
      <c r="D9" s="4" t="s">
        <v>13</v>
      </c>
      <c r="E9" s="28">
        <v>45919</v>
      </c>
      <c r="F9" s="28">
        <v>45919</v>
      </c>
      <c r="G9" s="5">
        <v>6285119990038</v>
      </c>
      <c r="H9" s="8">
        <v>100000</v>
      </c>
      <c r="I9" s="4"/>
      <c r="J9" t="s">
        <v>16</v>
      </c>
      <c r="K9" s="6" t="s">
        <v>17</v>
      </c>
    </row>
    <row r="10" spans="1:19" x14ac:dyDescent="0.25">
      <c r="A10" s="3">
        <v>9</v>
      </c>
      <c r="B10" s="10" t="s">
        <v>36</v>
      </c>
      <c r="C10" s="11">
        <v>6281314637230</v>
      </c>
      <c r="D10" s="12" t="s">
        <v>13</v>
      </c>
      <c r="E10" s="28">
        <v>45920</v>
      </c>
      <c r="F10" s="28">
        <v>45920</v>
      </c>
      <c r="G10" s="15">
        <v>6285119990038</v>
      </c>
      <c r="H10" s="13">
        <v>100000</v>
      </c>
      <c r="I10" s="12"/>
      <c r="J10" t="s">
        <v>9</v>
      </c>
      <c r="K10" s="6" t="s">
        <v>18</v>
      </c>
    </row>
    <row r="11" spans="1:19" x14ac:dyDescent="0.25">
      <c r="A11" s="3">
        <v>10</v>
      </c>
      <c r="B11" s="3" t="s">
        <v>41</v>
      </c>
      <c r="C11" s="7">
        <v>6281310663626</v>
      </c>
      <c r="D11" s="7"/>
      <c r="E11" s="28">
        <v>45920</v>
      </c>
      <c r="F11" s="28">
        <v>45924</v>
      </c>
      <c r="G11" s="5">
        <v>6285119990038</v>
      </c>
      <c r="H11" s="13">
        <v>100000</v>
      </c>
      <c r="I11" s="4"/>
      <c r="J11" t="s">
        <v>19</v>
      </c>
      <c r="K11" s="6" t="s">
        <v>10</v>
      </c>
    </row>
    <row r="12" spans="1:19" x14ac:dyDescent="0.25">
      <c r="A12" s="10"/>
      <c r="B12" s="10"/>
      <c r="C12" s="11"/>
      <c r="D12" s="12"/>
      <c r="E12" s="28"/>
      <c r="F12" s="28"/>
      <c r="G12" s="15"/>
      <c r="H12" s="13"/>
      <c r="I12" s="12"/>
      <c r="J12" t="s">
        <v>15</v>
      </c>
      <c r="K12" s="9"/>
    </row>
    <row r="13" spans="1:19" x14ac:dyDescent="0.25">
      <c r="K13" s="6" t="s">
        <v>20</v>
      </c>
    </row>
    <row r="14" spans="1:19" x14ac:dyDescent="0.25">
      <c r="K14" s="6" t="s">
        <v>16</v>
      </c>
    </row>
    <row r="15" spans="1:19" x14ac:dyDescent="0.25">
      <c r="J15" s="14">
        <v>6287851627778</v>
      </c>
      <c r="K15" s="6" t="s">
        <v>9</v>
      </c>
    </row>
    <row r="16" spans="1:19" x14ac:dyDescent="0.25">
      <c r="J16" s="14">
        <v>6285119990038</v>
      </c>
      <c r="K16" s="9"/>
    </row>
    <row r="17" spans="11:11" x14ac:dyDescent="0.25">
      <c r="K17" s="6" t="s">
        <v>21</v>
      </c>
    </row>
    <row r="18" spans="11:11" x14ac:dyDescent="0.25">
      <c r="K18" s="6" t="s">
        <v>19</v>
      </c>
    </row>
    <row r="19" spans="11:11" x14ac:dyDescent="0.25">
      <c r="K19" s="6" t="s">
        <v>15</v>
      </c>
    </row>
    <row r="39" spans="10:12" x14ac:dyDescent="0.25">
      <c r="J39" s="16"/>
    </row>
    <row r="42" spans="10:12" x14ac:dyDescent="0.25">
      <c r="L42" s="16"/>
    </row>
    <row r="59" spans="10:10" x14ac:dyDescent="0.25">
      <c r="J59" s="17"/>
    </row>
    <row r="60" spans="10:10" x14ac:dyDescent="0.25">
      <c r="J60" s="16"/>
    </row>
  </sheetData>
  <mergeCells count="1">
    <mergeCell ref="R3:S3"/>
  </mergeCells>
  <conditionalFormatting sqref="C1:C1048576">
    <cfRule type="duplicateValues" dxfId="3" priority="12"/>
  </conditionalFormatting>
  <conditionalFormatting sqref="D11">
    <cfRule type="duplicateValues" dxfId="2" priority="1"/>
  </conditionalFormatting>
  <dataValidations count="2">
    <dataValidation type="list" allowBlank="1" showInputMessage="1" showErrorMessage="1" sqref="G2:G12" xr:uid="{DB819545-5795-4105-869B-D4862F269D26}">
      <formula1>$J$15:$J$16</formula1>
    </dataValidation>
    <dataValidation type="list" allowBlank="1" showInputMessage="1" showErrorMessage="1" sqref="D2:D10 D12" xr:uid="{7A92D5AB-550C-463F-8F5A-0459AEF7A8D5}">
      <formula1>$J$5:$J$12</formula1>
    </dataValidation>
  </dataValidations>
  <pageMargins left="0.7" right="0.7" top="0.75" bottom="0.75" header="0.3" footer="0.3"/>
  <pageSetup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6793F-ACE9-4EE3-8269-3ADC422CB3BF}">
  <dimension ref="A3:G15"/>
  <sheetViews>
    <sheetView workbookViewId="0">
      <selection activeCell="D18" sqref="D18"/>
    </sheetView>
  </sheetViews>
  <sheetFormatPr defaultRowHeight="15" x14ac:dyDescent="0.25"/>
  <cols>
    <col min="1" max="1" width="12.42578125" bestFit="1" customWidth="1"/>
    <col min="2" max="2" width="15.28515625" bestFit="1" customWidth="1"/>
    <col min="3" max="3" width="6.7109375" bestFit="1" customWidth="1"/>
    <col min="4" max="4" width="13.85546875" bestFit="1" customWidth="1"/>
    <col min="5" max="5" width="6.7109375" bestFit="1" customWidth="1"/>
    <col min="6" max="6" width="15.7109375" bestFit="1" customWidth="1"/>
    <col min="7" max="7" width="16.140625" bestFit="1" customWidth="1"/>
  </cols>
  <sheetData>
    <row r="3" spans="1:7" x14ac:dyDescent="0.25">
      <c r="B3" s="24" t="s">
        <v>37</v>
      </c>
    </row>
    <row r="4" spans="1:7" x14ac:dyDescent="0.25">
      <c r="B4" t="s">
        <v>29</v>
      </c>
      <c r="D4" t="s">
        <v>30</v>
      </c>
      <c r="F4" t="s">
        <v>38</v>
      </c>
      <c r="G4" t="s">
        <v>39</v>
      </c>
    </row>
    <row r="5" spans="1:7" x14ac:dyDescent="0.25">
      <c r="A5" s="24" t="s">
        <v>28</v>
      </c>
      <c r="B5" s="1">
        <v>6285119990038</v>
      </c>
      <c r="C5" s="1" t="s">
        <v>40</v>
      </c>
      <c r="D5" s="1">
        <v>6285119990038</v>
      </c>
      <c r="E5" s="1" t="s">
        <v>40</v>
      </c>
    </row>
    <row r="6" spans="1:7" x14ac:dyDescent="0.25">
      <c r="A6" s="19">
        <v>45908</v>
      </c>
      <c r="B6">
        <v>1</v>
      </c>
      <c r="D6" s="16">
        <v>300000</v>
      </c>
      <c r="E6" s="16"/>
      <c r="F6">
        <v>1</v>
      </c>
      <c r="G6" s="16">
        <v>300000</v>
      </c>
    </row>
    <row r="7" spans="1:7" x14ac:dyDescent="0.25">
      <c r="A7" s="19">
        <v>45909</v>
      </c>
      <c r="B7">
        <v>2</v>
      </c>
      <c r="D7" s="16">
        <v>175000</v>
      </c>
      <c r="E7" s="16"/>
      <c r="F7">
        <v>2</v>
      </c>
      <c r="G7" s="16">
        <v>175000</v>
      </c>
    </row>
    <row r="8" spans="1:7" x14ac:dyDescent="0.25">
      <c r="A8" s="19">
        <v>45911</v>
      </c>
      <c r="B8">
        <v>1</v>
      </c>
      <c r="D8" s="16">
        <v>50000</v>
      </c>
      <c r="E8" s="16"/>
      <c r="F8">
        <v>1</v>
      </c>
      <c r="G8" s="16">
        <v>50000</v>
      </c>
    </row>
    <row r="9" spans="1:7" x14ac:dyDescent="0.25">
      <c r="A9" s="19">
        <v>45912</v>
      </c>
      <c r="B9">
        <v>1</v>
      </c>
      <c r="D9" s="16">
        <v>100000</v>
      </c>
      <c r="E9" s="16"/>
      <c r="F9">
        <v>1</v>
      </c>
      <c r="G9" s="16">
        <v>100000</v>
      </c>
    </row>
    <row r="10" spans="1:7" x14ac:dyDescent="0.25">
      <c r="A10" s="19">
        <v>45914</v>
      </c>
      <c r="B10">
        <v>1</v>
      </c>
      <c r="D10" s="16">
        <v>50000</v>
      </c>
      <c r="E10" s="16"/>
      <c r="F10">
        <v>1</v>
      </c>
      <c r="G10" s="16">
        <v>50000</v>
      </c>
    </row>
    <row r="11" spans="1:7" x14ac:dyDescent="0.25">
      <c r="A11" s="19">
        <v>45919</v>
      </c>
      <c r="B11">
        <v>2</v>
      </c>
      <c r="D11" s="16">
        <v>200000</v>
      </c>
      <c r="E11" s="16"/>
      <c r="F11">
        <v>2</v>
      </c>
      <c r="G11" s="16">
        <v>200000</v>
      </c>
    </row>
    <row r="12" spans="1:7" x14ac:dyDescent="0.25">
      <c r="A12" s="19">
        <v>45920</v>
      </c>
      <c r="B12">
        <v>1</v>
      </c>
      <c r="D12" s="16">
        <v>100000</v>
      </c>
      <c r="E12" s="16"/>
      <c r="F12">
        <v>1</v>
      </c>
      <c r="G12" s="16">
        <v>100000</v>
      </c>
    </row>
    <row r="13" spans="1:7" x14ac:dyDescent="0.25">
      <c r="A13" s="6" t="s">
        <v>40</v>
      </c>
      <c r="D13" s="16"/>
      <c r="E13" s="16"/>
      <c r="G13" s="16"/>
    </row>
    <row r="14" spans="1:7" x14ac:dyDescent="0.25">
      <c r="A14" s="19">
        <v>45924</v>
      </c>
      <c r="B14">
        <v>1</v>
      </c>
      <c r="D14" s="16">
        <v>100000</v>
      </c>
      <c r="E14" s="16"/>
      <c r="F14">
        <v>1</v>
      </c>
      <c r="G14" s="16">
        <v>100000</v>
      </c>
    </row>
    <row r="15" spans="1:7" x14ac:dyDescent="0.25">
      <c r="A15" s="6" t="s">
        <v>34</v>
      </c>
      <c r="B15">
        <v>10</v>
      </c>
      <c r="D15" s="16">
        <v>1075000</v>
      </c>
      <c r="E15" s="16"/>
      <c r="F15">
        <v>10</v>
      </c>
      <c r="G15" s="16">
        <v>1075000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426A-8518-453C-B4EC-E6A7BCC315C6}">
  <dimension ref="A1:O85"/>
  <sheetViews>
    <sheetView topLeftCell="E34" zoomScaleNormal="100" workbookViewId="0">
      <selection activeCell="H50" sqref="H50"/>
    </sheetView>
  </sheetViews>
  <sheetFormatPr defaultRowHeight="15" x14ac:dyDescent="0.25"/>
  <cols>
    <col min="1" max="1" width="29.85546875" bestFit="1" customWidth="1"/>
    <col min="2" max="2" width="15.5703125" style="18" bestFit="1" customWidth="1"/>
    <col min="3" max="3" width="12.42578125" bestFit="1" customWidth="1"/>
    <col min="4" max="4" width="21.42578125" bestFit="1" customWidth="1"/>
    <col min="5" max="5" width="29.140625" bestFit="1" customWidth="1"/>
    <col min="6" max="6" width="15.5703125" bestFit="1" customWidth="1"/>
    <col min="7" max="7" width="12.42578125" bestFit="1" customWidth="1"/>
    <col min="8" max="8" width="21.42578125" bestFit="1" customWidth="1"/>
    <col min="9" max="9" width="12.42578125" bestFit="1" customWidth="1"/>
    <col min="10" max="10" width="10.85546875" style="1" bestFit="1" customWidth="1"/>
    <col min="11" max="11" width="12.42578125" bestFit="1" customWidth="1"/>
    <col min="13" max="13" width="12.42578125" bestFit="1" customWidth="1"/>
    <col min="14" max="14" width="10.85546875" bestFit="1" customWidth="1"/>
    <col min="15" max="15" width="12.42578125" bestFit="1" customWidth="1"/>
  </cols>
  <sheetData>
    <row r="1" spans="1:15" x14ac:dyDescent="0.25">
      <c r="B1"/>
      <c r="I1" s="24" t="s">
        <v>28</v>
      </c>
      <c r="J1" s="1" t="s">
        <v>29</v>
      </c>
      <c r="K1" t="s">
        <v>30</v>
      </c>
      <c r="M1" s="24" t="s">
        <v>28</v>
      </c>
      <c r="N1" s="1" t="s">
        <v>29</v>
      </c>
      <c r="O1" t="s">
        <v>30</v>
      </c>
    </row>
    <row r="2" spans="1:15" x14ac:dyDescent="0.25">
      <c r="B2"/>
      <c r="E2" s="24" t="s">
        <v>4</v>
      </c>
      <c r="F2" t="s">
        <v>31</v>
      </c>
      <c r="I2" s="19">
        <v>45884</v>
      </c>
      <c r="J2" s="1">
        <v>1</v>
      </c>
      <c r="K2" s="20">
        <v>100000</v>
      </c>
      <c r="M2" s="19">
        <v>45896</v>
      </c>
      <c r="N2" s="1">
        <v>2</v>
      </c>
      <c r="O2" s="20">
        <v>300000</v>
      </c>
    </row>
    <row r="3" spans="1:15" x14ac:dyDescent="0.25">
      <c r="A3" s="24" t="s">
        <v>32</v>
      </c>
      <c r="B3" s="1" t="s">
        <v>33</v>
      </c>
      <c r="C3" t="s">
        <v>30</v>
      </c>
      <c r="I3" s="19">
        <v>45888</v>
      </c>
      <c r="J3" s="1">
        <v>1</v>
      </c>
      <c r="K3" s="20">
        <v>50000</v>
      </c>
      <c r="M3" s="19">
        <v>45897</v>
      </c>
      <c r="N3" s="1">
        <v>1</v>
      </c>
      <c r="O3" s="20">
        <v>50000</v>
      </c>
    </row>
    <row r="4" spans="1:15" x14ac:dyDescent="0.25">
      <c r="A4" s="19">
        <v>45914</v>
      </c>
      <c r="B4" s="1">
        <v>1</v>
      </c>
      <c r="C4" s="21">
        <v>50000</v>
      </c>
      <c r="E4" s="24" t="s">
        <v>32</v>
      </c>
      <c r="F4" s="1" t="s">
        <v>33</v>
      </c>
      <c r="G4" t="s">
        <v>30</v>
      </c>
      <c r="I4" s="19">
        <v>45890</v>
      </c>
      <c r="J4" s="1">
        <v>1</v>
      </c>
      <c r="K4" s="20">
        <v>50000</v>
      </c>
      <c r="M4" s="19">
        <v>45898</v>
      </c>
      <c r="N4" s="1">
        <v>10</v>
      </c>
      <c r="O4" s="20">
        <v>863000</v>
      </c>
    </row>
    <row r="5" spans="1:15" x14ac:dyDescent="0.25">
      <c r="A5" s="22" t="s">
        <v>15</v>
      </c>
      <c r="B5" s="1">
        <v>1</v>
      </c>
      <c r="C5" s="21">
        <v>50000</v>
      </c>
      <c r="E5" s="19">
        <v>45905</v>
      </c>
      <c r="F5" s="1">
        <v>5</v>
      </c>
      <c r="G5" s="21">
        <v>450000</v>
      </c>
      <c r="I5" s="19">
        <v>45891</v>
      </c>
      <c r="J5" s="1">
        <v>6</v>
      </c>
      <c r="K5" s="20">
        <v>3000000</v>
      </c>
      <c r="M5" s="19">
        <v>45899</v>
      </c>
      <c r="N5" s="1">
        <v>1</v>
      </c>
      <c r="O5" s="20">
        <v>50000</v>
      </c>
    </row>
    <row r="6" spans="1:15" x14ac:dyDescent="0.25">
      <c r="A6" s="19">
        <v>45912</v>
      </c>
      <c r="B6" s="1">
        <v>9</v>
      </c>
      <c r="C6" s="21">
        <v>950000</v>
      </c>
      <c r="E6" s="22" t="s">
        <v>13</v>
      </c>
      <c r="F6" s="1">
        <v>3</v>
      </c>
      <c r="G6" s="21">
        <v>350000</v>
      </c>
      <c r="I6" s="19">
        <v>45894</v>
      </c>
      <c r="J6" s="1">
        <v>2</v>
      </c>
      <c r="K6" s="20">
        <v>200000</v>
      </c>
      <c r="M6" s="19">
        <v>45900</v>
      </c>
      <c r="N6" s="1">
        <v>1</v>
      </c>
      <c r="O6" s="20">
        <v>100000</v>
      </c>
    </row>
    <row r="7" spans="1:15" x14ac:dyDescent="0.25">
      <c r="A7" s="22" t="s">
        <v>13</v>
      </c>
      <c r="B7" s="1">
        <v>3</v>
      </c>
      <c r="C7" s="21">
        <v>300000</v>
      </c>
      <c r="E7" s="23">
        <v>6287851627778</v>
      </c>
      <c r="F7" s="1">
        <v>3</v>
      </c>
      <c r="G7" s="21">
        <v>350000</v>
      </c>
      <c r="I7" s="19">
        <v>45896</v>
      </c>
      <c r="J7" s="1">
        <v>3</v>
      </c>
      <c r="K7" s="20">
        <v>400000</v>
      </c>
      <c r="M7" s="19">
        <v>45903</v>
      </c>
      <c r="N7" s="1">
        <v>1</v>
      </c>
      <c r="O7" s="20">
        <v>100000</v>
      </c>
    </row>
    <row r="8" spans="1:15" x14ac:dyDescent="0.25">
      <c r="A8" s="22" t="s">
        <v>15</v>
      </c>
      <c r="B8" s="1">
        <v>1</v>
      </c>
      <c r="C8" s="21">
        <v>100000</v>
      </c>
      <c r="E8" s="22" t="s">
        <v>10</v>
      </c>
      <c r="F8" s="1">
        <v>1</v>
      </c>
      <c r="G8" s="21">
        <v>50000</v>
      </c>
      <c r="I8" s="19">
        <v>45898</v>
      </c>
      <c r="J8" s="1">
        <v>8</v>
      </c>
      <c r="K8" s="20">
        <v>613000</v>
      </c>
      <c r="M8" s="19">
        <v>45904</v>
      </c>
      <c r="N8" s="1">
        <v>2</v>
      </c>
      <c r="O8" s="20">
        <v>2650000</v>
      </c>
    </row>
    <row r="9" spans="1:15" x14ac:dyDescent="0.25">
      <c r="A9" s="22" t="s">
        <v>9</v>
      </c>
      <c r="B9" s="1">
        <v>3</v>
      </c>
      <c r="C9" s="21">
        <v>400000</v>
      </c>
      <c r="E9" s="23">
        <v>6287851627778</v>
      </c>
      <c r="F9" s="1">
        <v>1</v>
      </c>
      <c r="G9" s="21">
        <v>50000</v>
      </c>
      <c r="I9" s="19">
        <v>45905</v>
      </c>
      <c r="J9" s="1">
        <v>4</v>
      </c>
      <c r="K9" s="20">
        <v>400000</v>
      </c>
      <c r="M9" s="19">
        <v>45905</v>
      </c>
      <c r="N9" s="1">
        <v>5</v>
      </c>
      <c r="O9" s="20">
        <v>450000</v>
      </c>
    </row>
    <row r="10" spans="1:15" x14ac:dyDescent="0.25">
      <c r="A10" s="22" t="s">
        <v>10</v>
      </c>
      <c r="B10" s="1">
        <v>1</v>
      </c>
      <c r="C10" s="21">
        <v>50000</v>
      </c>
      <c r="E10" s="22" t="s">
        <v>16</v>
      </c>
      <c r="F10" s="1">
        <v>1</v>
      </c>
      <c r="G10" s="21">
        <v>50000</v>
      </c>
      <c r="I10" s="19">
        <v>45908</v>
      </c>
      <c r="J10" s="1">
        <v>2</v>
      </c>
      <c r="K10" s="20">
        <v>350000</v>
      </c>
      <c r="M10" s="19">
        <v>45908</v>
      </c>
      <c r="N10" s="1">
        <v>3</v>
      </c>
      <c r="O10" s="20">
        <v>450000</v>
      </c>
    </row>
    <row r="11" spans="1:15" x14ac:dyDescent="0.25">
      <c r="A11" s="22" t="s">
        <v>16</v>
      </c>
      <c r="B11" s="1">
        <v>1</v>
      </c>
      <c r="C11" s="21">
        <v>100000</v>
      </c>
      <c r="E11" s="23">
        <v>6287851627778</v>
      </c>
      <c r="F11" s="1">
        <v>1</v>
      </c>
      <c r="G11" s="21">
        <v>50000</v>
      </c>
      <c r="I11" s="19">
        <v>45909</v>
      </c>
      <c r="J11" s="1">
        <v>6</v>
      </c>
      <c r="K11" s="20">
        <v>475000</v>
      </c>
      <c r="M11" s="19">
        <v>45909</v>
      </c>
      <c r="N11" s="1">
        <v>5</v>
      </c>
      <c r="O11" s="20">
        <v>375000</v>
      </c>
    </row>
    <row r="12" spans="1:15" x14ac:dyDescent="0.25">
      <c r="A12" s="19">
        <v>45911</v>
      </c>
      <c r="B12" s="1">
        <v>3</v>
      </c>
      <c r="C12" s="21">
        <v>400000</v>
      </c>
      <c r="E12" s="19">
        <v>45904</v>
      </c>
      <c r="F12" s="1">
        <v>2</v>
      </c>
      <c r="G12" s="21">
        <v>2650000</v>
      </c>
      <c r="I12" s="19">
        <v>45911</v>
      </c>
      <c r="J12" s="1">
        <v>4</v>
      </c>
      <c r="K12" s="20">
        <v>450000</v>
      </c>
      <c r="M12" s="19">
        <v>45911</v>
      </c>
      <c r="N12" s="1">
        <v>3</v>
      </c>
      <c r="O12" s="20">
        <v>400000</v>
      </c>
    </row>
    <row r="13" spans="1:15" x14ac:dyDescent="0.25">
      <c r="A13" s="22" t="s">
        <v>13</v>
      </c>
      <c r="B13" s="1">
        <v>1</v>
      </c>
      <c r="C13" s="21">
        <v>50000</v>
      </c>
      <c r="E13" s="22" t="s">
        <v>15</v>
      </c>
      <c r="F13" s="1">
        <v>1</v>
      </c>
      <c r="G13" s="21">
        <v>2600000</v>
      </c>
      <c r="I13" s="19">
        <v>45912</v>
      </c>
      <c r="J13" s="1">
        <v>3</v>
      </c>
      <c r="K13" s="20">
        <v>450000</v>
      </c>
      <c r="M13" s="19">
        <v>45912</v>
      </c>
      <c r="N13" s="1">
        <v>9</v>
      </c>
      <c r="O13" s="20">
        <v>950000</v>
      </c>
    </row>
    <row r="14" spans="1:15" x14ac:dyDescent="0.25">
      <c r="A14" s="22" t="s">
        <v>15</v>
      </c>
      <c r="B14" s="1">
        <v>2</v>
      </c>
      <c r="C14" s="21">
        <v>350000</v>
      </c>
      <c r="E14" s="23">
        <v>6287851627778</v>
      </c>
      <c r="F14" s="1">
        <v>1</v>
      </c>
      <c r="G14" s="21">
        <v>2600000</v>
      </c>
      <c r="I14" s="19">
        <v>45895</v>
      </c>
      <c r="J14" s="1">
        <v>1</v>
      </c>
      <c r="K14" s="20">
        <v>100000</v>
      </c>
      <c r="M14" s="19">
        <v>45914</v>
      </c>
      <c r="N14" s="1">
        <v>1</v>
      </c>
      <c r="O14" s="20">
        <v>50000</v>
      </c>
    </row>
    <row r="15" spans="1:15" x14ac:dyDescent="0.25">
      <c r="A15" s="19">
        <v>45909</v>
      </c>
      <c r="B15" s="1">
        <v>5</v>
      </c>
      <c r="C15" s="21">
        <v>375000</v>
      </c>
      <c r="E15" s="22" t="s">
        <v>9</v>
      </c>
      <c r="F15" s="1">
        <v>1</v>
      </c>
      <c r="G15" s="21">
        <v>50000</v>
      </c>
      <c r="I15" s="19">
        <v>45910</v>
      </c>
      <c r="J15" s="1">
        <v>1</v>
      </c>
      <c r="K15" s="20">
        <v>100000</v>
      </c>
      <c r="M15" s="6" t="s">
        <v>34</v>
      </c>
      <c r="N15" s="1">
        <v>44</v>
      </c>
      <c r="O15" s="20">
        <v>6788000</v>
      </c>
    </row>
    <row r="16" spans="1:15" x14ac:dyDescent="0.25">
      <c r="A16" s="22" t="s">
        <v>13</v>
      </c>
      <c r="B16" s="1">
        <v>1</v>
      </c>
      <c r="C16" s="21">
        <v>100000</v>
      </c>
      <c r="E16" s="23">
        <v>6287851627778</v>
      </c>
      <c r="F16" s="1">
        <v>1</v>
      </c>
      <c r="G16" s="21">
        <v>50000</v>
      </c>
      <c r="I16" s="19">
        <v>45913</v>
      </c>
      <c r="J16" s="1">
        <v>1</v>
      </c>
      <c r="K16" s="20">
        <v>50000</v>
      </c>
    </row>
    <row r="17" spans="1:11" x14ac:dyDescent="0.25">
      <c r="A17" s="22" t="s">
        <v>15</v>
      </c>
      <c r="B17" s="1">
        <v>3</v>
      </c>
      <c r="C17" s="21">
        <v>225000</v>
      </c>
      <c r="E17" s="19">
        <v>45903</v>
      </c>
      <c r="F17" s="1">
        <v>1</v>
      </c>
      <c r="G17" s="21">
        <v>100000</v>
      </c>
      <c r="I17" s="6" t="s">
        <v>34</v>
      </c>
      <c r="J17" s="1">
        <v>44</v>
      </c>
      <c r="K17" s="20">
        <v>6788000</v>
      </c>
    </row>
    <row r="18" spans="1:11" x14ac:dyDescent="0.25">
      <c r="A18" s="22" t="s">
        <v>11</v>
      </c>
      <c r="B18" s="1">
        <v>1</v>
      </c>
      <c r="C18" s="21">
        <v>50000</v>
      </c>
      <c r="E18" s="22" t="s">
        <v>13</v>
      </c>
      <c r="F18" s="1">
        <v>1</v>
      </c>
      <c r="G18" s="21">
        <v>100000</v>
      </c>
      <c r="J18"/>
    </row>
    <row r="19" spans="1:11" x14ac:dyDescent="0.25">
      <c r="A19" s="19">
        <v>45908</v>
      </c>
      <c r="B19" s="1">
        <v>3</v>
      </c>
      <c r="C19" s="21">
        <v>450000</v>
      </c>
      <c r="E19" s="23">
        <v>6287851627778</v>
      </c>
      <c r="F19" s="1">
        <v>1</v>
      </c>
      <c r="G19" s="21">
        <v>100000</v>
      </c>
      <c r="J19"/>
    </row>
    <row r="20" spans="1:11" x14ac:dyDescent="0.25">
      <c r="A20" s="22" t="s">
        <v>13</v>
      </c>
      <c r="B20" s="1">
        <v>1</v>
      </c>
      <c r="C20" s="21">
        <v>100000</v>
      </c>
      <c r="E20" s="19">
        <v>45900</v>
      </c>
      <c r="F20" s="1">
        <v>1</v>
      </c>
      <c r="G20" s="21">
        <v>100000</v>
      </c>
      <c r="J20"/>
    </row>
    <row r="21" spans="1:11" x14ac:dyDescent="0.25">
      <c r="A21" s="22" t="s">
        <v>15</v>
      </c>
      <c r="B21" s="1">
        <v>1</v>
      </c>
      <c r="C21" s="21">
        <v>50000</v>
      </c>
      <c r="E21" s="22" t="s">
        <v>13</v>
      </c>
      <c r="F21" s="1">
        <v>1</v>
      </c>
      <c r="G21" s="21">
        <v>100000</v>
      </c>
      <c r="J21"/>
    </row>
    <row r="22" spans="1:11" x14ac:dyDescent="0.25">
      <c r="A22" s="22" t="s">
        <v>10</v>
      </c>
      <c r="B22" s="1">
        <v>1</v>
      </c>
      <c r="C22" s="21">
        <v>300000</v>
      </c>
      <c r="E22" s="23">
        <v>6287851627778</v>
      </c>
      <c r="F22" s="1">
        <v>1</v>
      </c>
      <c r="G22" s="21">
        <v>100000</v>
      </c>
      <c r="J22"/>
    </row>
    <row r="23" spans="1:11" x14ac:dyDescent="0.25">
      <c r="A23" s="19">
        <v>45905</v>
      </c>
      <c r="B23" s="1">
        <v>5</v>
      </c>
      <c r="C23" s="21">
        <v>450000</v>
      </c>
      <c r="E23" s="19">
        <v>45899</v>
      </c>
      <c r="F23" s="1">
        <v>1</v>
      </c>
      <c r="G23" s="21">
        <v>50000</v>
      </c>
      <c r="J23"/>
    </row>
    <row r="24" spans="1:11" x14ac:dyDescent="0.25">
      <c r="A24" s="22" t="s">
        <v>13</v>
      </c>
      <c r="B24" s="1">
        <v>3</v>
      </c>
      <c r="C24" s="21">
        <v>350000</v>
      </c>
      <c r="E24" s="22" t="s">
        <v>15</v>
      </c>
      <c r="F24" s="1">
        <v>1</v>
      </c>
      <c r="G24" s="21">
        <v>50000</v>
      </c>
      <c r="J24"/>
    </row>
    <row r="25" spans="1:11" x14ac:dyDescent="0.25">
      <c r="A25" s="22" t="s">
        <v>10</v>
      </c>
      <c r="B25" s="1">
        <v>1</v>
      </c>
      <c r="C25" s="21">
        <v>50000</v>
      </c>
      <c r="E25" s="23">
        <v>6287851627778</v>
      </c>
      <c r="F25" s="1">
        <v>1</v>
      </c>
      <c r="G25" s="21">
        <v>50000</v>
      </c>
      <c r="J25"/>
    </row>
    <row r="26" spans="1:11" x14ac:dyDescent="0.25">
      <c r="A26" s="22" t="s">
        <v>16</v>
      </c>
      <c r="B26" s="1">
        <v>1</v>
      </c>
      <c r="C26" s="21">
        <v>50000</v>
      </c>
      <c r="E26" s="19">
        <v>45898</v>
      </c>
      <c r="F26" s="1">
        <v>10</v>
      </c>
      <c r="G26" s="21">
        <v>863000</v>
      </c>
    </row>
    <row r="27" spans="1:11" x14ac:dyDescent="0.25">
      <c r="A27" s="19">
        <v>45904</v>
      </c>
      <c r="B27" s="1">
        <v>2</v>
      </c>
      <c r="C27" s="21">
        <v>2650000</v>
      </c>
      <c r="E27" s="22" t="s">
        <v>13</v>
      </c>
      <c r="F27" s="1">
        <v>3</v>
      </c>
      <c r="G27" s="21">
        <v>200000</v>
      </c>
    </row>
    <row r="28" spans="1:11" x14ac:dyDescent="0.25">
      <c r="A28" s="22" t="s">
        <v>15</v>
      </c>
      <c r="B28" s="1">
        <v>1</v>
      </c>
      <c r="C28" s="21">
        <v>2600000</v>
      </c>
      <c r="E28" s="23">
        <v>6287851627778</v>
      </c>
      <c r="F28" s="1">
        <v>3</v>
      </c>
      <c r="G28" s="21">
        <v>200000</v>
      </c>
    </row>
    <row r="29" spans="1:11" x14ac:dyDescent="0.25">
      <c r="A29" s="22" t="s">
        <v>9</v>
      </c>
      <c r="B29" s="1">
        <v>1</v>
      </c>
      <c r="C29" s="21">
        <v>50000</v>
      </c>
      <c r="E29" s="22" t="s">
        <v>15</v>
      </c>
      <c r="F29" s="1">
        <v>2</v>
      </c>
      <c r="G29" s="21">
        <v>200000</v>
      </c>
    </row>
    <row r="30" spans="1:11" x14ac:dyDescent="0.25">
      <c r="A30" s="19">
        <v>45903</v>
      </c>
      <c r="B30" s="1">
        <v>1</v>
      </c>
      <c r="C30" s="21">
        <v>100000</v>
      </c>
      <c r="E30" s="23">
        <v>6287851627778</v>
      </c>
      <c r="F30" s="1">
        <v>2</v>
      </c>
      <c r="G30" s="21">
        <v>200000</v>
      </c>
    </row>
    <row r="31" spans="1:11" x14ac:dyDescent="0.25">
      <c r="A31" s="22" t="s">
        <v>13</v>
      </c>
      <c r="B31" s="1">
        <v>1</v>
      </c>
      <c r="C31" s="21">
        <v>100000</v>
      </c>
      <c r="E31" s="22" t="s">
        <v>9</v>
      </c>
      <c r="F31" s="1">
        <v>2</v>
      </c>
      <c r="G31" s="21">
        <v>200000</v>
      </c>
    </row>
    <row r="32" spans="1:11" x14ac:dyDescent="0.25">
      <c r="A32" s="19">
        <v>45900</v>
      </c>
      <c r="B32" s="1">
        <v>1</v>
      </c>
      <c r="C32" s="21">
        <v>100000</v>
      </c>
      <c r="E32" s="23">
        <v>6287851627778</v>
      </c>
      <c r="F32" s="1">
        <v>2</v>
      </c>
      <c r="G32" s="21">
        <v>200000</v>
      </c>
    </row>
    <row r="33" spans="1:7" x14ac:dyDescent="0.25">
      <c r="A33" s="22" t="s">
        <v>13</v>
      </c>
      <c r="B33" s="1">
        <v>1</v>
      </c>
      <c r="C33" s="21">
        <v>100000</v>
      </c>
      <c r="E33" s="22" t="s">
        <v>10</v>
      </c>
      <c r="F33" s="1">
        <v>3</v>
      </c>
      <c r="G33" s="21">
        <v>263000</v>
      </c>
    </row>
    <row r="34" spans="1:7" x14ac:dyDescent="0.25">
      <c r="A34" s="19">
        <v>45899</v>
      </c>
      <c r="B34" s="1">
        <v>1</v>
      </c>
      <c r="C34" s="21">
        <v>50000</v>
      </c>
      <c r="E34" s="23">
        <v>6287851627778</v>
      </c>
      <c r="F34" s="1">
        <v>3</v>
      </c>
      <c r="G34" s="21">
        <v>263000</v>
      </c>
    </row>
    <row r="35" spans="1:7" x14ac:dyDescent="0.25">
      <c r="A35" s="22" t="s">
        <v>15</v>
      </c>
      <c r="B35" s="1">
        <v>1</v>
      </c>
      <c r="C35" s="21">
        <v>50000</v>
      </c>
      <c r="E35" s="19">
        <v>45897</v>
      </c>
      <c r="F35" s="1">
        <v>1</v>
      </c>
      <c r="G35" s="21">
        <v>50000</v>
      </c>
    </row>
    <row r="36" spans="1:7" x14ac:dyDescent="0.25">
      <c r="A36" s="19">
        <v>45898</v>
      </c>
      <c r="B36" s="1">
        <v>10</v>
      </c>
      <c r="C36" s="21">
        <v>863000</v>
      </c>
      <c r="E36" s="22" t="s">
        <v>9</v>
      </c>
      <c r="F36" s="1">
        <v>1</v>
      </c>
      <c r="G36" s="21">
        <v>50000</v>
      </c>
    </row>
    <row r="37" spans="1:7" x14ac:dyDescent="0.25">
      <c r="A37" s="22" t="s">
        <v>13</v>
      </c>
      <c r="B37" s="1">
        <v>3</v>
      </c>
      <c r="C37" s="21">
        <v>200000</v>
      </c>
      <c r="E37" s="23">
        <v>6287851627778</v>
      </c>
      <c r="F37" s="1">
        <v>1</v>
      </c>
      <c r="G37" s="21">
        <v>50000</v>
      </c>
    </row>
    <row r="38" spans="1:7" x14ac:dyDescent="0.25">
      <c r="A38" s="22" t="s">
        <v>15</v>
      </c>
      <c r="B38" s="1">
        <v>2</v>
      </c>
      <c r="C38" s="21">
        <v>200000</v>
      </c>
      <c r="E38" s="19">
        <v>45896</v>
      </c>
      <c r="F38" s="1">
        <v>2</v>
      </c>
      <c r="G38" s="21">
        <v>300000</v>
      </c>
    </row>
    <row r="39" spans="1:7" x14ac:dyDescent="0.25">
      <c r="A39" s="22" t="s">
        <v>9</v>
      </c>
      <c r="B39" s="1">
        <v>2</v>
      </c>
      <c r="C39" s="21">
        <v>200000</v>
      </c>
      <c r="E39" s="22" t="s">
        <v>9</v>
      </c>
      <c r="F39" s="1">
        <v>1</v>
      </c>
      <c r="G39" s="21">
        <v>200000</v>
      </c>
    </row>
    <row r="40" spans="1:7" x14ac:dyDescent="0.25">
      <c r="A40" s="22" t="s">
        <v>10</v>
      </c>
      <c r="B40" s="1">
        <v>3</v>
      </c>
      <c r="C40" s="21">
        <v>263000</v>
      </c>
      <c r="E40" s="23">
        <v>6287851627778</v>
      </c>
      <c r="F40" s="1">
        <v>1</v>
      </c>
      <c r="G40" s="21">
        <v>200000</v>
      </c>
    </row>
    <row r="41" spans="1:7" x14ac:dyDescent="0.25">
      <c r="A41" s="19">
        <v>45897</v>
      </c>
      <c r="B41" s="1">
        <v>1</v>
      </c>
      <c r="C41" s="21">
        <v>50000</v>
      </c>
      <c r="E41" s="22" t="s">
        <v>10</v>
      </c>
      <c r="F41" s="1">
        <v>1</v>
      </c>
      <c r="G41" s="21">
        <v>100000</v>
      </c>
    </row>
    <row r="42" spans="1:7" x14ac:dyDescent="0.25">
      <c r="A42" s="22" t="s">
        <v>9</v>
      </c>
      <c r="B42" s="1">
        <v>1</v>
      </c>
      <c r="C42" s="21">
        <v>50000</v>
      </c>
      <c r="E42" s="23">
        <v>6287851627778</v>
      </c>
      <c r="F42" s="1">
        <v>1</v>
      </c>
      <c r="G42" s="21">
        <v>100000</v>
      </c>
    </row>
    <row r="43" spans="1:7" x14ac:dyDescent="0.25">
      <c r="A43" s="19">
        <v>45896</v>
      </c>
      <c r="B43" s="1">
        <v>2</v>
      </c>
      <c r="C43" s="21">
        <v>300000</v>
      </c>
    </row>
    <row r="44" spans="1:7" x14ac:dyDescent="0.25">
      <c r="A44" s="22" t="s">
        <v>9</v>
      </c>
      <c r="B44" s="1">
        <v>1</v>
      </c>
      <c r="C44" s="21">
        <v>200000</v>
      </c>
    </row>
    <row r="45" spans="1:7" x14ac:dyDescent="0.25">
      <c r="A45" s="22" t="s">
        <v>10</v>
      </c>
      <c r="B45" s="1">
        <v>1</v>
      </c>
      <c r="C45" s="21">
        <v>100000</v>
      </c>
    </row>
    <row r="46" spans="1:7" x14ac:dyDescent="0.25">
      <c r="B46"/>
    </row>
    <row r="47" spans="1:7" x14ac:dyDescent="0.25">
      <c r="B47"/>
    </row>
    <row r="48" spans="1:7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Rekap_himpunan</vt:lpstr>
      <vt:lpstr>TOTAL_TANGGAL</vt:lpstr>
      <vt:lpstr>Total_pertanggal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indonesia</dc:creator>
  <cp:lastModifiedBy>faruq izah al afghani</cp:lastModifiedBy>
  <dcterms:created xsi:type="dcterms:W3CDTF">2025-09-15T06:46:50Z</dcterms:created>
  <dcterms:modified xsi:type="dcterms:W3CDTF">2025-12-09T12:06:28Z</dcterms:modified>
</cp:coreProperties>
</file>