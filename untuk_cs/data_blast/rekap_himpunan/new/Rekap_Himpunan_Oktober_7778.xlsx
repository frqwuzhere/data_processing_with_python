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SUS\Documents\TEMANBAIK.ID\DATA 7778\REKAP HIMPUNAN\"/>
    </mc:Choice>
  </mc:AlternateContent>
  <xr:revisionPtr revIDLastSave="0" documentId="13_ncr:1_{4A6810C6-73F3-482D-AF27-4B23235A501F}" xr6:coauthVersionLast="47" xr6:coauthVersionMax="47" xr10:uidLastSave="{00000000-0000-0000-0000-000000000000}"/>
  <bookViews>
    <workbookView xWindow="-110" yWindow="-110" windowWidth="19420" windowHeight="10300" firstSheet="1" activeTab="1" xr2:uid="{A476BC5B-E498-44DF-AC52-59F8AF689969}"/>
  </bookViews>
  <sheets>
    <sheet name="TOTAL_TANGGAL" sheetId="2" state="hidden" r:id="rId1"/>
    <sheet name="Rekap_himpunan" sheetId="1" r:id="rId2"/>
    <sheet name="Detail1" sheetId="5" r:id="rId3"/>
    <sheet name="TOTAL_PERTANGGAL" sheetId="4" r:id="rId4"/>
  </sheets>
  <definedNames>
    <definedName name="_xlnm._FilterDatabase" localSheetId="1" hidden="1">#REF!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0" i="1" l="1"/>
  <c r="J40" i="1"/>
</calcChain>
</file>

<file path=xl/sharedStrings.xml><?xml version="1.0" encoding="utf-8"?>
<sst xmlns="http://schemas.openxmlformats.org/spreadsheetml/2006/main" count="204" uniqueCount="94">
  <si>
    <t>No</t>
  </si>
  <si>
    <t>Donatur</t>
  </si>
  <si>
    <t>Whatsapp</t>
  </si>
  <si>
    <t>Payment Account</t>
  </si>
  <si>
    <t>Date Blast</t>
  </si>
  <si>
    <t>Date</t>
  </si>
  <si>
    <t>Nomor CS</t>
  </si>
  <si>
    <t>Total</t>
  </si>
  <si>
    <t>Column1</t>
  </si>
  <si>
    <t>BSI (CS) 7316126698</t>
  </si>
  <si>
    <t>Titi Murwani</t>
  </si>
  <si>
    <t>BNI (CS) 5005003227</t>
  </si>
  <si>
    <t>Mandiri (Ads) 1410000665448</t>
  </si>
  <si>
    <t xml:space="preserve">MANDIRI </t>
  </si>
  <si>
    <t xml:space="preserve">Mandiri (CS) 1410029052222 </t>
  </si>
  <si>
    <t>BNI (Ads) 3003003257</t>
  </si>
  <si>
    <t>BRI (CS) 115901000648567</t>
  </si>
  <si>
    <t xml:space="preserve">BSI (Ads) 7772526274 </t>
  </si>
  <si>
    <t xml:space="preserve">BNI </t>
  </si>
  <si>
    <t>BNI (Ads(3003003257</t>
  </si>
  <si>
    <t>BRI (Ads) 115901000647561</t>
  </si>
  <si>
    <t>BSI</t>
  </si>
  <si>
    <t>BRI</t>
  </si>
  <si>
    <t>Tessy</t>
  </si>
  <si>
    <t>Arba'in</t>
  </si>
  <si>
    <t>Column Labels</t>
  </si>
  <si>
    <t>(blank)</t>
  </si>
  <si>
    <t>Total Sum of Total</t>
  </si>
  <si>
    <t>Total Count of No</t>
  </si>
  <si>
    <t>Row Labels</t>
  </si>
  <si>
    <t>Sum of Total</t>
  </si>
  <si>
    <t>Count of No</t>
  </si>
  <si>
    <t>&lt;15/08/2025</t>
  </si>
  <si>
    <t>15-Aug</t>
  </si>
  <si>
    <t>19-Aug</t>
  </si>
  <si>
    <t>21-Aug</t>
  </si>
  <si>
    <t>22-Aug</t>
  </si>
  <si>
    <t>25-Aug</t>
  </si>
  <si>
    <t>26-Aug</t>
  </si>
  <si>
    <t>27-Aug</t>
  </si>
  <si>
    <t>29-Aug</t>
  </si>
  <si>
    <t>05-Sep</t>
  </si>
  <si>
    <t>08-Sep</t>
  </si>
  <si>
    <t>09-Sep</t>
  </si>
  <si>
    <t>11-Sep</t>
  </si>
  <si>
    <t>12-Sep</t>
  </si>
  <si>
    <t>16-Sep</t>
  </si>
  <si>
    <t>18-Sep</t>
  </si>
  <si>
    <t>19-Sep</t>
  </si>
  <si>
    <t>20-Sep</t>
  </si>
  <si>
    <t>Grand Total</t>
  </si>
  <si>
    <t>24-Sep</t>
  </si>
  <si>
    <t>26-Sep</t>
  </si>
  <si>
    <t>Muflikhatin Nisak</t>
  </si>
  <si>
    <t>Titiek Chairuniza</t>
  </si>
  <si>
    <t>Agus Gunawan</t>
  </si>
  <si>
    <t>Puji Widyastanti</t>
  </si>
  <si>
    <t>Mohammad Iqbal Firdaus</t>
  </si>
  <si>
    <t>Dody Irawan</t>
  </si>
  <si>
    <t xml:space="preserve"> Adek Raflus</t>
  </si>
  <si>
    <t>Suyadih</t>
  </si>
  <si>
    <t>Gafar Ahmad</t>
  </si>
  <si>
    <t>Nurbaiti / Haris Sutrisna</t>
  </si>
  <si>
    <t>Details for Sum of Total - Date Blast: 9/18/2025, Nomor CS: 6287851627778</t>
  </si>
  <si>
    <t>Hj Mimin Sari</t>
  </si>
  <si>
    <t>Lindawarni</t>
  </si>
  <si>
    <t>Saidil</t>
  </si>
  <si>
    <t>Eny Susiana</t>
  </si>
  <si>
    <t>Achmad Kusnadi</t>
  </si>
  <si>
    <t>Chumaidi</t>
  </si>
  <si>
    <t>Rachmi Azizah Malik</t>
  </si>
  <si>
    <t>Rochmad Hermansyah</t>
  </si>
  <si>
    <t>Ta Lim Algani</t>
  </si>
  <si>
    <t>Filhafi Faojah</t>
  </si>
  <si>
    <t>Tri Yanti</t>
  </si>
  <si>
    <t>Helvi Deliana</t>
  </si>
  <si>
    <t>Heli Yunardi</t>
  </si>
  <si>
    <t>Samudi</t>
  </si>
  <si>
    <t>10/10/025</t>
  </si>
  <si>
    <t>Sri Peny Hartati</t>
  </si>
  <si>
    <t>Yakob / Susilawati</t>
  </si>
  <si>
    <t xml:space="preserve">Asrarudin </t>
  </si>
  <si>
    <t>Aida Fitria Nuraini</t>
  </si>
  <si>
    <t>Heppy</t>
  </si>
  <si>
    <t xml:space="preserve">Umi Aisyah </t>
  </si>
  <si>
    <t>Antini</t>
  </si>
  <si>
    <t>Mulyani</t>
  </si>
  <si>
    <t>Hery Catur Susanti</t>
  </si>
  <si>
    <t>Yuniar Hasna Ridhawati</t>
  </si>
  <si>
    <t>11/10/025</t>
  </si>
  <si>
    <t>Suryanto</t>
  </si>
  <si>
    <t>Bapak Jum</t>
  </si>
  <si>
    <t>Bara Rezky</t>
  </si>
  <si>
    <t>02/10/025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</si>
</sst>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35">
    <xf numFmtId="0" fontId="0" fillId="0" borderId="0" xfId="0"/>
    <xf numFmtId="1" fontId="0" fillId="0" borderId="0" xfId="0" applyNumberFormat="1"/>
    <xf numFmtId="14" fontId="0" fillId="0" borderId="0" xfId="0" applyNumberFormat="1"/>
    <xf numFmtId="42" fontId="0" fillId="0" borderId="0" xfId="1" applyFont="1" applyFill="1"/>
    <xf numFmtId="0" fontId="0" fillId="0" borderId="1" xfId="0" applyBorder="1"/>
    <xf numFmtId="1" fontId="0" fillId="0" borderId="2" xfId="0" applyNumberFormat="1" applyBorder="1" applyAlignment="1">
      <alignment horizontal="left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42" fontId="0" fillId="0" borderId="2" xfId="1" applyFont="1" applyFill="1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1" fontId="0" fillId="0" borderId="1" xfId="0" applyNumberFormat="1" applyBorder="1" applyAlignment="1">
      <alignment horizontal="left"/>
    </xf>
    <xf numFmtId="42" fontId="0" fillId="0" borderId="1" xfId="1" applyFont="1" applyFill="1" applyBorder="1"/>
    <xf numFmtId="42" fontId="0" fillId="0" borderId="1" xfId="0" applyNumberFormat="1" applyBorder="1" applyAlignment="1">
      <alignment horizontal="center"/>
    </xf>
    <xf numFmtId="42" fontId="0" fillId="0" borderId="0" xfId="0" applyNumberFormat="1" applyAlignment="1">
      <alignment horizontal="left"/>
    </xf>
    <xf numFmtId="0" fontId="0" fillId="0" borderId="3" xfId="0" applyBorder="1"/>
    <xf numFmtId="1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center"/>
    </xf>
    <xf numFmtId="42" fontId="0" fillId="0" borderId="3" xfId="1" applyFont="1" applyFill="1" applyBorder="1"/>
    <xf numFmtId="1" fontId="0" fillId="0" borderId="0" xfId="0" applyNumberFormat="1" applyAlignment="1">
      <alignment horizontal="center" vertical="center"/>
    </xf>
    <xf numFmtId="14" fontId="0" fillId="0" borderId="3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left"/>
    </xf>
    <xf numFmtId="42" fontId="0" fillId="0" borderId="0" xfId="0" applyNumberFormat="1"/>
    <xf numFmtId="1" fontId="2" fillId="0" borderId="3" xfId="0" applyNumberFormat="1" applyFont="1" applyBorder="1" applyAlignment="1">
      <alignment horizontal="left"/>
    </xf>
    <xf numFmtId="1" fontId="3" fillId="0" borderId="3" xfId="0" applyNumberFormat="1" applyFont="1" applyBorder="1" applyAlignment="1">
      <alignment horizontal="left"/>
    </xf>
    <xf numFmtId="42" fontId="0" fillId="0" borderId="0" xfId="1" applyFont="1"/>
    <xf numFmtId="42" fontId="0" fillId="0" borderId="0" xfId="1" applyFont="1" applyFill="1" applyBorder="1"/>
    <xf numFmtId="14" fontId="0" fillId="0" borderId="0" xfId="0" applyNumberFormat="1" applyAlignment="1">
      <alignment horizontal="left"/>
    </xf>
    <xf numFmtId="164" fontId="0" fillId="0" borderId="0" xfId="0" applyNumberFormat="1"/>
    <xf numFmtId="0" fontId="0" fillId="0" borderId="0" xfId="0" pivotButton="1"/>
    <xf numFmtId="0" fontId="4" fillId="0" borderId="0" xfId="0" applyFont="1"/>
    <xf numFmtId="1" fontId="0" fillId="0" borderId="0" xfId="0" applyNumberFormat="1" applyAlignment="1">
      <alignment horizontal="left" vertical="top"/>
    </xf>
    <xf numFmtId="0" fontId="0" fillId="0" borderId="0" xfId="0" applyAlignment="1">
      <alignment horizontal="left"/>
    </xf>
  </cellXfs>
  <cellStyles count="2">
    <cellStyle name="Currency [0]" xfId="1" builtinId="7"/>
    <cellStyle name="Normal" xfId="0" builtinId="0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" formatCode="0"/>
    </dxf>
    <dxf>
      <numFmt numFmtId="19" formatCode="dd/mm/yyyy"/>
    </dxf>
    <dxf>
      <numFmt numFmtId="19" formatCode="dd/mm/yyyy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Rp&quot;#,##0"/>
    </dxf>
    <dxf>
      <numFmt numFmtId="19" formatCode="dd/mm/yyyy"/>
    </dxf>
    <dxf>
      <numFmt numFmtId="1" formatCode="0"/>
    </dxf>
    <dxf>
      <numFmt numFmtId="164" formatCode="&quot;Rp&quot;#,##0"/>
    </dxf>
    <dxf>
      <numFmt numFmtId="164" formatCode="&quot;Rp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SUS/Documents/TEMANBAIK.ID/DATA%207778/REKAP%20HIMPUNAN%207778_Sept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26.409187037039" createdVersion="8" refreshedVersion="8" minRefreshableVersion="3" recordCount="60" xr:uid="{8B9133E6-0E67-4545-9023-28C8695637AC}">
  <cacheSource type="worksheet">
    <worksheetSource ref="A1:I1048576" sheet="Rekap_himpunan" r:id="rId2"/>
  </cacheSource>
  <cacheFields count="11">
    <cacheField name="No" numFmtId="0">
      <sharedItems containsString="0" containsBlank="1" containsNumber="1" containsInteger="1" minValue="1" maxValue="48"/>
    </cacheField>
    <cacheField name="Donatur" numFmtId="0">
      <sharedItems containsBlank="1"/>
    </cacheField>
    <cacheField name="Whatsapp" numFmtId="1">
      <sharedItems containsString="0" containsBlank="1" containsNumber="1" containsInteger="1" minValue="628117672974" maxValue="62895704945944"/>
    </cacheField>
    <cacheField name="Payment Account" numFmtId="0">
      <sharedItems containsBlank="1"/>
    </cacheField>
    <cacheField name="Date Blast" numFmtId="0">
      <sharedItems containsNonDate="0" containsDate="1" containsString="0" containsBlank="1" minDate="2025-08-15T00:00:00" maxDate="2025-09-27T00:00:00" count="20">
        <d v="2025-08-27T00:00:00"/>
        <d v="2025-08-15T00:00:00"/>
        <d v="2025-08-19T00:00:00"/>
        <d v="2025-08-25T00:00:00"/>
        <d v="2025-08-29T00:00:00"/>
        <d v="2025-08-22T00:00:00"/>
        <d v="2025-08-21T00:00:00"/>
        <d v="2025-09-05T00:00:00"/>
        <d v="2025-09-08T00:00:00"/>
        <d v="2025-09-09T00:00:00"/>
        <d v="2025-09-11T00:00:00"/>
        <d v="2025-09-12T00:00:00"/>
        <d v="2025-08-26T00:00:00"/>
        <d v="2025-09-16T00:00:00"/>
        <d v="2025-09-18T00:00:00"/>
        <d v="2025-09-19T00:00:00"/>
        <d v="2025-09-20T00:00:00"/>
        <d v="2025-09-24T00:00:00"/>
        <d v="2025-09-26T00:00:00"/>
        <m/>
      </sharedItems>
      <fieldGroup par="10"/>
    </cacheField>
    <cacheField name="Date" numFmtId="14">
      <sharedItems containsNonDate="0" containsDate="1" containsString="0" containsBlank="1" minDate="2025-08-27T00:00:00" maxDate="2025-09-27T00:00:00"/>
    </cacheField>
    <cacheField name="Nomor CS" numFmtId="1">
      <sharedItems containsString="0" containsBlank="1" containsNumber="1" containsInteger="1" minValue="6287851627778" maxValue="6287851627778" count="2">
        <n v="6287851627778"/>
        <m/>
      </sharedItems>
    </cacheField>
    <cacheField name="Total" numFmtId="42">
      <sharedItems containsString="0" containsBlank="1" containsNumber="1" containsInteger="1" minValue="20000" maxValue="2600000"/>
    </cacheField>
    <cacheField name="Column1" numFmtId="0">
      <sharedItems containsNonDate="0" containsString="0" containsBlank="1"/>
    </cacheField>
    <cacheField name="Days (Date Blast)" numFmtId="0" databaseField="0">
      <fieldGroup base="4">
        <rangePr groupBy="days" startDate="2025-08-15T00:00:00" endDate="2025-09-27T00:00:00"/>
        <groupItems count="368">
          <s v="&lt;15/08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7/09/2025"/>
        </groupItems>
      </fieldGroup>
    </cacheField>
    <cacheField name="Months (Date Blast)" numFmtId="0" databaseField="0">
      <fieldGroup base="4">
        <rangePr groupBy="months" startDate="2025-08-15T00:00:00" endDate="2025-09-27T00:00:00"/>
        <groupItems count="14">
          <s v="&lt;15/08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/0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41.594935995374" createdVersion="8" refreshedVersion="8" minRefreshableVersion="3" recordCount="60" xr:uid="{3A1AE7BA-DD06-4266-B7E7-1E3BED5629D4}">
  <cacheSource type="worksheet">
    <worksheetSource ref="A1:H67" sheet="Rekap_himpunan"/>
  </cacheSource>
  <cacheFields count="8">
    <cacheField name="No" numFmtId="0">
      <sharedItems containsString="0" containsBlank="1" containsNumber="1" containsInteger="1" minValue="1" maxValue="42"/>
    </cacheField>
    <cacheField name="Donatur" numFmtId="0">
      <sharedItems containsBlank="1"/>
    </cacheField>
    <cacheField name="Whatsapp" numFmtId="1">
      <sharedItems containsString="0" containsBlank="1" containsNumber="1" containsInteger="1" minValue="628117672974" maxValue="62895704945944"/>
    </cacheField>
    <cacheField name="Payment Account" numFmtId="0">
      <sharedItems containsBlank="1"/>
    </cacheField>
    <cacheField name="Date Blast" numFmtId="0">
      <sharedItems containsDate="1" containsBlank="1" containsMixedTypes="1" minDate="2025-09-05T00:00:00" maxDate="2025-10-10T00:00:00" count="20">
        <d v="2025-09-24T00:00:00"/>
        <d v="2025-09-26T00:00:00"/>
        <d v="2025-09-11T00:00:00"/>
        <d v="2025-09-05T00:00:00"/>
        <d v="2025-09-18T00:00:00"/>
        <d v="2025-09-19T00:00:00"/>
        <d v="2025-09-30T00:00:00"/>
        <d v="2025-10-03T00:00:00"/>
        <d v="2025-10-02T00:00:00"/>
        <d v="2025-09-17T00:00:00"/>
        <d v="2025-10-04T00:00:00"/>
        <d v="2025-10-06T00:00:00"/>
        <d v="2025-09-25T00:00:00"/>
        <d v="2025-10-08T00:00:00"/>
        <d v="2025-10-09T00:00:00"/>
        <s v="10/10/025"/>
        <d v="2025-09-12T00:00:00"/>
        <s v="11/10/025"/>
        <s v="02/10/025"/>
        <m/>
      </sharedItems>
    </cacheField>
    <cacheField name="Date" numFmtId="14">
      <sharedItems containsDate="1" containsBlank="1" containsMixedTypes="1" minDate="2025-09-26T00:00:00" maxDate="2025-10-10T00:00:00"/>
    </cacheField>
    <cacheField name="Nomor CS" numFmtId="1">
      <sharedItems containsString="0" containsBlank="1" containsNumber="1" containsInteger="1" minValue="6287851627778" maxValue="6287851627778" count="2">
        <n v="6287851627778"/>
        <m/>
      </sharedItems>
    </cacheField>
    <cacheField name="Total" numFmtId="42">
      <sharedItems containsString="0" containsBlank="1" containsNumber="1" containsInteger="1" minValue="20000" maxValue="1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"/>
    <s v="Winaryo"/>
    <n v="6281323058536"/>
    <s v="BSI (CS) 7316126698"/>
    <x v="0"/>
    <d v="2025-08-27T00:00:00"/>
    <x v="0"/>
    <n v="200000"/>
    <m/>
  </r>
  <r>
    <n v="2"/>
    <s v="Titi Murwani"/>
    <n v="62895704945944"/>
    <s v="BNI (CS) 5005003227"/>
    <x v="1"/>
    <d v="2025-08-27T00:00:00"/>
    <x v="0"/>
    <n v="100000"/>
    <m/>
  </r>
  <r>
    <n v="3"/>
    <s v="Iqbal Firdaus"/>
    <n v="6287758712611"/>
    <s v="BSI (CS) 7316126698"/>
    <x v="2"/>
    <d v="2025-08-28T00:00:00"/>
    <x v="0"/>
    <n v="50000"/>
    <m/>
  </r>
  <r>
    <n v="4"/>
    <s v="Hj Mimin Sari"/>
    <n v="6282214688293"/>
    <s v="BNI (CS) 5005003227"/>
    <x v="3"/>
    <d v="2025-08-29T00:00:00"/>
    <x v="0"/>
    <n v="100000"/>
    <m/>
  </r>
  <r>
    <n v="5"/>
    <s v="Lenny Ella Susana"/>
    <n v="6285886726077"/>
    <s v="BSI (CS) 7316126698"/>
    <x v="4"/>
    <d v="2025-08-29T00:00:00"/>
    <x v="0"/>
    <n v="100000"/>
    <m/>
  </r>
  <r>
    <n v="6"/>
    <s v="Yerli Elvi"/>
    <n v="6281380888430"/>
    <s v="Mandiri (CS) 1410029052222 "/>
    <x v="4"/>
    <d v="2025-08-29T00:00:00"/>
    <x v="0"/>
    <n v="100000"/>
    <m/>
  </r>
  <r>
    <n v="7"/>
    <s v="Sabta Adhitya"/>
    <n v="6282252125629"/>
    <s v="BSI (CS) 7316126698"/>
    <x v="4"/>
    <d v="2025-08-29T00:00:00"/>
    <x v="0"/>
    <n v="100000"/>
    <m/>
  </r>
  <r>
    <n v="8"/>
    <s v="Hj Leha"/>
    <n v="6282155532096"/>
    <s v="BRI (CS) 115901000648567"/>
    <x v="0"/>
    <d v="2025-08-29T00:00:00"/>
    <x v="0"/>
    <n v="100000"/>
    <m/>
  </r>
  <r>
    <n v="9"/>
    <s v="Nur Hasanudin"/>
    <n v="6285397361589"/>
    <s v="BNI (CS) 5005003227"/>
    <x v="4"/>
    <d v="2025-08-29T00:00:00"/>
    <x v="0"/>
    <n v="113000"/>
    <m/>
  </r>
  <r>
    <n v="10"/>
    <s v="Tajudin"/>
    <n v="6285817693286"/>
    <s v="Mandiri (CS) 1410029052222 "/>
    <x v="4"/>
    <d v="2025-08-29T00:00:00"/>
    <x v="0"/>
    <n v="50000"/>
    <m/>
  </r>
  <r>
    <n v="11"/>
    <s v="Bpk Hasan"/>
    <n v="6282332999495"/>
    <s v="Mandiri (CS) 1410029052222 "/>
    <x v="4"/>
    <d v="2025-08-29T00:00:00"/>
    <x v="0"/>
    <n v="50000"/>
    <m/>
  </r>
  <r>
    <n v="12"/>
    <s v="Muh Kadri"/>
    <n v="6282187646234"/>
    <s v="BRI (CS) 115901000648567"/>
    <x v="3"/>
    <d v="2025-08-29T00:00:00"/>
    <x v="0"/>
    <n v="100000"/>
    <m/>
  </r>
  <r>
    <n v="13"/>
    <s v="Siti Nuraeni"/>
    <n v="628997280726"/>
    <s v="BRI (CS) 115901000648567"/>
    <x v="4"/>
    <d v="2025-08-30T00:00:00"/>
    <x v="0"/>
    <n v="50000"/>
    <m/>
  </r>
  <r>
    <n v="14"/>
    <s v="Helvi Deliana"/>
    <n v="6281362191145"/>
    <s v="BNI (CS) 5005003227"/>
    <x v="4"/>
    <d v="2025-08-29T00:00:00"/>
    <x v="0"/>
    <n v="50000"/>
    <m/>
  </r>
  <r>
    <n v="15"/>
    <s v="Achmad Kusnadi"/>
    <n v="628159493776"/>
    <s v="Mandiri (CS) 1410029052222 "/>
    <x v="5"/>
    <d v="2025-08-31T00:00:00"/>
    <x v="0"/>
    <n v="100000"/>
    <m/>
  </r>
  <r>
    <n v="16"/>
    <s v="Dewi Sri Rahayu"/>
    <n v="628980134698"/>
    <s v="Mandiri (CS) 1410029052222 "/>
    <x v="5"/>
    <d v="2025-09-03T00:00:00"/>
    <x v="0"/>
    <n v="100000"/>
    <m/>
  </r>
  <r>
    <n v="17"/>
    <s v="Samsul Bahri"/>
    <n v="6281212521758"/>
    <s v="BRI (CS) 115901000648567"/>
    <x v="5"/>
    <d v="2025-09-04T00:00:00"/>
    <x v="0"/>
    <n v="2600000"/>
    <m/>
  </r>
  <r>
    <n v="18"/>
    <s v="Sayono"/>
    <n v="6285379921896"/>
    <s v="BSI (CS) 7316126698"/>
    <x v="6"/>
    <d v="2025-09-04T00:00:00"/>
    <x v="0"/>
    <n v="50000"/>
    <m/>
  </r>
  <r>
    <n v="19"/>
    <s v="Ishak Laode"/>
    <n v="6282259688947"/>
    <s v="Mandiri (CS) 1410029052222 "/>
    <x v="7"/>
    <d v="2025-09-05T00:00:00"/>
    <x v="0"/>
    <n v="150000"/>
    <m/>
  </r>
  <r>
    <n v="20"/>
    <s v="Yolanda"/>
    <n v="6287782162979"/>
    <s v="Mandiri (CS) 1410029052222 "/>
    <x v="7"/>
    <d v="2025-09-05T00:00:00"/>
    <x v="0"/>
    <n v="100000"/>
    <m/>
  </r>
  <r>
    <n v="21"/>
    <s v="Nita Arsanti"/>
    <n v="628889606779"/>
    <s v="BSI (Ads) 7772526274 "/>
    <x v="7"/>
    <d v="2025-09-05T00:00:00"/>
    <x v="0"/>
    <n v="50000"/>
    <m/>
  </r>
  <r>
    <n v="22"/>
    <s v="Yusmayani"/>
    <n v="6285763575795"/>
    <s v="BNI (CS) 5005003227"/>
    <x v="5"/>
    <d v="2025-09-05T00:00:00"/>
    <x v="0"/>
    <n v="50000"/>
    <m/>
  </r>
  <r>
    <n v="23"/>
    <s v="Slamet Wahyudi"/>
    <n v="6282280045655"/>
    <s v="Mandiri (CS) 1410029052222 "/>
    <x v="7"/>
    <d v="2025-09-05T00:00:00"/>
    <x v="0"/>
    <n v="100000"/>
    <m/>
  </r>
  <r>
    <n v="24"/>
    <s v="Dewi Sri Rahayu"/>
    <n v="628980134698"/>
    <s v="Mandiri (CS) 1410029052222 "/>
    <x v="5"/>
    <d v="2025-09-08T00:00:00"/>
    <x v="0"/>
    <n v="100000"/>
    <m/>
  </r>
  <r>
    <n v="25"/>
    <s v="Eny Susiana"/>
    <n v="628995357321"/>
    <s v="BRI (CS) 115901000648567"/>
    <x v="8"/>
    <d v="2025-09-08T00:00:00"/>
    <x v="0"/>
    <n v="50000"/>
    <m/>
  </r>
  <r>
    <n v="26"/>
    <s v="Nena Trisnawati"/>
    <n v="6282315984480"/>
    <s v="Mandiri (Ads) 1410000665448"/>
    <x v="9"/>
    <d v="2025-09-09T00:00:00"/>
    <x v="0"/>
    <n v="50000"/>
    <m/>
  </r>
  <r>
    <n v="27"/>
    <s v="Maratul Hasanah"/>
    <n v="6282338401859"/>
    <s v="BRI (CS) 115901000648567"/>
    <x v="9"/>
    <d v="2025-09-09T00:00:00"/>
    <x v="0"/>
    <n v="50000"/>
    <m/>
  </r>
  <r>
    <n v="28"/>
    <s v="Rochmad Hermansyah"/>
    <n v="6283151171721"/>
    <s v="BRI (CS) 115901000648567"/>
    <x v="9"/>
    <d v="2025-09-09T00:00:00"/>
    <x v="0"/>
    <n v="100000"/>
    <m/>
  </r>
  <r>
    <n v="29"/>
    <s v="Edy Suprapto"/>
    <n v="6282334740312"/>
    <s v="BRI (CS) 115901000648567"/>
    <x v="10"/>
    <d v="2025-09-11T00:00:00"/>
    <x v="0"/>
    <n v="300000"/>
    <m/>
  </r>
  <r>
    <n v="30"/>
    <s v="Sumarsono"/>
    <n v="62881025578418"/>
    <s v="Mandiri (CS) 1410029052222 "/>
    <x v="10"/>
    <d v="2025-09-11T00:00:00"/>
    <x v="0"/>
    <n v="50000"/>
    <m/>
  </r>
  <r>
    <n v="31"/>
    <s v="Yusmayani"/>
    <n v="6285763575795"/>
    <s v="BNI (CS) 5005003227"/>
    <x v="5"/>
    <d v="2025-09-12T00:00:00"/>
    <x v="0"/>
    <n v="50000"/>
    <m/>
  </r>
  <r>
    <n v="32"/>
    <s v="Nani Nuryati"/>
    <n v="6282371769494"/>
    <s v="Mandiri (CS) 1410029052222 "/>
    <x v="9"/>
    <d v="2025-09-12T00:00:00"/>
    <x v="0"/>
    <n v="100000"/>
    <m/>
  </r>
  <r>
    <n v="33"/>
    <s v="Ridho Ibrahim Fauzy"/>
    <n v="6285960224557"/>
    <s v="BSI (CS) 7316126698"/>
    <x v="10"/>
    <d v="2025-09-12T00:00:00"/>
    <x v="0"/>
    <n v="50000"/>
    <m/>
  </r>
  <r>
    <n v="34"/>
    <s v="Heni Sulisttyaningsih"/>
    <n v="6287899303567"/>
    <s v="Mandiri (CS) 1410029052222 "/>
    <x v="11"/>
    <d v="2025-09-12T00:00:00"/>
    <x v="0"/>
    <n v="100000"/>
    <m/>
  </r>
  <r>
    <n v="35"/>
    <s v="Ahmad Rofik"/>
    <n v="6282129968287"/>
    <s v="BSI (Ads) 7772526274 "/>
    <x v="12"/>
    <d v="2025-09-12T00:00:00"/>
    <x v="0"/>
    <n v="100000"/>
    <m/>
  </r>
  <r>
    <n v="36"/>
    <s v="Hj Leha"/>
    <n v="6282155532096"/>
    <s v="BRI (CS) 115901000648567"/>
    <x v="0"/>
    <d v="2025-09-12T00:00:00"/>
    <x v="0"/>
    <n v="100000"/>
    <m/>
  </r>
  <r>
    <n v="37"/>
    <s v="Neny emillasari"/>
    <n v="62895374284808"/>
    <s v="BSI (CS) 7316126698"/>
    <x v="11"/>
    <d v="2025-09-12T00:00:00"/>
    <x v="0"/>
    <n v="250000"/>
    <m/>
  </r>
  <r>
    <n v="38"/>
    <s v="Asrarudin"/>
    <n v="6285338528200"/>
    <s v="Mandiri (CS) 1410029052222 "/>
    <x v="11"/>
    <d v="2025-09-12T00:00:00"/>
    <x v="0"/>
    <n v="100000"/>
    <m/>
  </r>
  <r>
    <n v="39"/>
    <s v=" Shihhana Ulya"/>
    <n v="6285712250550"/>
    <s v="BRI (CS) 115901000648567"/>
    <x v="13"/>
    <d v="2025-09-16T00:00:00"/>
    <x v="0"/>
    <n v="100000"/>
    <m/>
  </r>
  <r>
    <n v="40"/>
    <s v=" Ratna Eka Kushandaya"/>
    <n v="6281907051960"/>
    <s v="Mandiri (CS) 1410029052222 "/>
    <x v="14"/>
    <d v="2025-09-18T00:00:00"/>
    <x v="0"/>
    <n v="20000"/>
    <m/>
  </r>
  <r>
    <n v="41"/>
    <s v="Haris Sutrisna"/>
    <n v="6282123149118"/>
    <s v="Mandiri (CS) 1410029052222 "/>
    <x v="14"/>
    <d v="2025-09-18T00:00:00"/>
    <x v="0"/>
    <n v="100000"/>
    <m/>
  </r>
  <r>
    <n v="42"/>
    <s v="Rahmawati"/>
    <n v="6281545921882"/>
    <s v="BNI (CS) 5005003227"/>
    <x v="15"/>
    <d v="2025-09-19T00:00:00"/>
    <x v="0"/>
    <n v="100000"/>
    <m/>
  </r>
  <r>
    <n v="43"/>
    <s v="Widodo Arif Wicksono"/>
    <n v="6281575335720"/>
    <s v="BRI (CS) 115901000648567"/>
    <x v="15"/>
    <d v="2025-09-19T00:00:00"/>
    <x v="0"/>
    <n v="25000"/>
    <m/>
  </r>
  <r>
    <n v="44"/>
    <s v="Tino Joosetha D A "/>
    <n v="6282142452207"/>
    <s v="BNI (CS) 5005003227"/>
    <x v="15"/>
    <d v="2025-09-20T00:00:00"/>
    <x v="0"/>
    <n v="100000"/>
    <m/>
  </r>
  <r>
    <n v="45"/>
    <s v="Rosanti"/>
    <n v="6281330351631"/>
    <s v="BNI (CS) 5005003227"/>
    <x v="16"/>
    <d v="2025-09-20T00:00:00"/>
    <x v="0"/>
    <n v="50000"/>
    <m/>
  </r>
  <r>
    <n v="46"/>
    <s v="Dody Irawan A"/>
    <n v="628117672974"/>
    <s v="BSI (Ads) 7772526274 "/>
    <x v="7"/>
    <d v="2025-09-20T00:00:00"/>
    <x v="0"/>
    <n v="100375"/>
    <m/>
  </r>
  <r>
    <n v="47"/>
    <s v="Yakub"/>
    <n v="62895326107850"/>
    <s v="BSI (CS) 7316126698"/>
    <x v="10"/>
    <d v="2025-09-23T00:00:00"/>
    <x v="0"/>
    <n v="25000"/>
    <m/>
  </r>
  <r>
    <n v="48"/>
    <s v="Bapak Al Kosimi "/>
    <n v="6282381079119"/>
    <s v="BRI (CS) 115901000648567"/>
    <x v="9"/>
    <d v="2025-09-25T00:00:00"/>
    <x v="0"/>
    <n v="500000"/>
    <m/>
  </r>
  <r>
    <m/>
    <s v="Yudha Galang Raharja"/>
    <n v="6285814319350"/>
    <s v="Mandiri (CS) 1410029052222 "/>
    <x v="10"/>
    <d v="2025-09-25T00:00:00"/>
    <x v="0"/>
    <n v="100000"/>
    <m/>
  </r>
  <r>
    <m/>
    <s v="Titik Chairuniza"/>
    <n v="6281284452036"/>
    <s v="BSI (CS) 7316126698"/>
    <x v="17"/>
    <d v="2025-09-26T00:00:00"/>
    <x v="0"/>
    <n v="100000"/>
    <m/>
  </r>
  <r>
    <m/>
    <s v="Titi Murwani"/>
    <n v="62895704945944"/>
    <s v="Mandiri (CS) 1410029052222 "/>
    <x v="18"/>
    <d v="2025-09-26T00:00:00"/>
    <x v="0"/>
    <n v="100000"/>
    <m/>
  </r>
  <r>
    <m/>
    <s v="Tessy"/>
    <n v="6287827677776"/>
    <s v="BSI (CS) 7316126698"/>
    <x v="10"/>
    <d v="2025-09-26T00:00:00"/>
    <x v="0"/>
    <n v="20000"/>
    <m/>
  </r>
  <r>
    <m/>
    <s v="Arba'in"/>
    <n v="6289682370909"/>
    <s v="Mandiri (CS) 1410029052222 "/>
    <x v="18"/>
    <d v="2025-09-26T00:00:00"/>
    <x v="0"/>
    <n v="100000"/>
    <m/>
  </r>
  <r>
    <m/>
    <m/>
    <m/>
    <m/>
    <x v="19"/>
    <m/>
    <x v="1"/>
    <m/>
    <m/>
  </r>
  <r>
    <m/>
    <m/>
    <m/>
    <m/>
    <x v="19"/>
    <m/>
    <x v="1"/>
    <m/>
    <m/>
  </r>
  <r>
    <m/>
    <m/>
    <m/>
    <m/>
    <x v="19"/>
    <m/>
    <x v="1"/>
    <m/>
    <m/>
  </r>
  <r>
    <m/>
    <m/>
    <m/>
    <m/>
    <x v="19"/>
    <m/>
    <x v="1"/>
    <m/>
    <m/>
  </r>
  <r>
    <m/>
    <m/>
    <m/>
    <m/>
    <x v="19"/>
    <m/>
    <x v="1"/>
    <m/>
    <m/>
  </r>
  <r>
    <m/>
    <m/>
    <m/>
    <m/>
    <x v="19"/>
    <m/>
    <x v="1"/>
    <m/>
    <m/>
  </r>
  <r>
    <m/>
    <m/>
    <m/>
    <m/>
    <x v="19"/>
    <m/>
    <x v="1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"/>
    <s v="Titiek Chairuniza"/>
    <n v="6281284452036"/>
    <s v="BSI (CS) 7316126698"/>
    <x v="0"/>
    <d v="2025-09-26T00:00:00"/>
    <x v="0"/>
    <n v="100000"/>
  </r>
  <r>
    <n v="2"/>
    <s v="Titi Murwani"/>
    <n v="62895704945944"/>
    <s v="Mandiri (CS) 1410029052222 "/>
    <x v="1"/>
    <d v="2025-09-26T00:00:00"/>
    <x v="0"/>
    <n v="100000"/>
  </r>
  <r>
    <n v="3"/>
    <s v="Tessy"/>
    <n v="6287827677776"/>
    <s v="BSI (CS) 7316126698"/>
    <x v="2"/>
    <d v="2025-09-26T00:00:00"/>
    <x v="0"/>
    <n v="20000"/>
  </r>
  <r>
    <n v="4"/>
    <s v="Arba'in"/>
    <n v="6289682370909"/>
    <s v="Mandiri (CS) 1410029052222 "/>
    <x v="1"/>
    <d v="2025-09-26T00:00:00"/>
    <x v="0"/>
    <n v="100000"/>
  </r>
  <r>
    <n v="5"/>
    <s v="Muflikhatin Nisak"/>
    <n v="6281358105489"/>
    <s v="BSI (CS) 7316126698"/>
    <x v="1"/>
    <d v="2025-09-26T00:00:00"/>
    <x v="0"/>
    <n v="50000"/>
  </r>
  <r>
    <n v="6"/>
    <s v="Agus Gunawan"/>
    <n v="6285293243559"/>
    <s v="BRI (CS) 115901000648567"/>
    <x v="1"/>
    <d v="2025-09-26T00:00:00"/>
    <x v="0"/>
    <n v="100000"/>
  </r>
  <r>
    <n v="7"/>
    <s v="Puji Widyastanti"/>
    <n v="6281253694272"/>
    <s v="BRI (CS) 115901000648567"/>
    <x v="1"/>
    <d v="2025-09-26T00:00:00"/>
    <x v="0"/>
    <n v="100000"/>
  </r>
  <r>
    <n v="8"/>
    <s v="Mohammad Iqbal Firdaus"/>
    <n v="6287758712611"/>
    <s v="BRI (CS) 115901000648567"/>
    <x v="2"/>
    <d v="2025-09-26T00:00:00"/>
    <x v="0"/>
    <n v="50000"/>
  </r>
  <r>
    <n v="9"/>
    <s v="Dody Irawan"/>
    <n v="628117672974"/>
    <s v="BSI (CS) 7316126698"/>
    <x v="3"/>
    <d v="2025-09-27T00:00:00"/>
    <x v="0"/>
    <n v="100000"/>
  </r>
  <r>
    <n v="10"/>
    <s v=" Adek Raflus"/>
    <n v="628129955091"/>
    <s v="BNI (Ads) 3003003257"/>
    <x v="4"/>
    <d v="2025-09-29T00:00:00"/>
    <x v="0"/>
    <n v="50633"/>
  </r>
  <r>
    <n v="11"/>
    <s v="Suyadih"/>
    <n v="6281383719672"/>
    <s v="BSI (CS) 7316126698"/>
    <x v="1"/>
    <d v="2025-09-29T00:00:00"/>
    <x v="0"/>
    <n v="100000"/>
  </r>
  <r>
    <n v="12"/>
    <s v="Gafar Ahmad"/>
    <n v="6282293001020"/>
    <s v="BSI (CS) 7316126698"/>
    <x v="1"/>
    <d v="2025-09-29T00:00:00"/>
    <x v="0"/>
    <n v="100000"/>
  </r>
  <r>
    <n v="13"/>
    <s v="Nurbaiti / Haris Sutrisna"/>
    <n v="6282123149118"/>
    <s v="Mandiri (CS) 1410029052222 "/>
    <x v="4"/>
    <d v="2025-09-30T00:00:00"/>
    <x v="0"/>
    <n v="100000"/>
  </r>
  <r>
    <n v="14"/>
    <s v="Hj Mimin Sari"/>
    <n v="6282214688293"/>
    <s v="BNI (CS) 5005003227"/>
    <x v="5"/>
    <d v="2025-10-02T00:00:00"/>
    <x v="0"/>
    <n v="100000"/>
  </r>
  <r>
    <n v="15"/>
    <s v="Lindawarni"/>
    <n v="6282251155904"/>
    <s v="BRI (CS) 115901000648567"/>
    <x v="6"/>
    <d v="2025-10-03T00:00:00"/>
    <x v="0"/>
    <n v="100000"/>
  </r>
  <r>
    <n v="16"/>
    <s v="Saidil"/>
    <n v="6282256447917"/>
    <s v="Mandiri (CS) 1410029052222 "/>
    <x v="7"/>
    <d v="2025-10-03T00:00:00"/>
    <x v="0"/>
    <n v="100000"/>
  </r>
  <r>
    <n v="17"/>
    <s v="Eny Susiana"/>
    <n v="628995357321"/>
    <s v="BRI (CS) 115901000648567"/>
    <x v="7"/>
    <d v="2025-10-03T00:00:00"/>
    <x v="0"/>
    <n v="50000"/>
  </r>
  <r>
    <n v="18"/>
    <s v="Achmad Kusnadi"/>
    <n v="628159493776"/>
    <s v="Mandiri (CS) 1410029052222 "/>
    <x v="7"/>
    <d v="2025-10-03T00:00:00"/>
    <x v="0"/>
    <n v="100000"/>
  </r>
  <r>
    <n v="19"/>
    <s v="Dody Irawan"/>
    <n v="628117672974"/>
    <s v="BSI (CS) 7316126698"/>
    <x v="8"/>
    <d v="2025-10-03T00:00:00"/>
    <x v="0"/>
    <n v="100000"/>
  </r>
  <r>
    <n v="20"/>
    <s v="Chumaidi"/>
    <n v="6285777131895"/>
    <s v="BSI (CS) 7316126698"/>
    <x v="9"/>
    <d v="2025-10-04T00:00:00"/>
    <x v="0"/>
    <n v="50000"/>
  </r>
  <r>
    <n v="21"/>
    <s v="Rachmi Azizah Malik"/>
    <n v="6282373654667"/>
    <s v="BNI (CS) 5005003227"/>
    <x v="10"/>
    <d v="2025-10-04T00:00:00"/>
    <x v="0"/>
    <n v="1000000"/>
  </r>
  <r>
    <n v="22"/>
    <s v="Rochmad Hermansyah"/>
    <n v="6283151171721"/>
    <s v="BRI (CS) 115901000648567"/>
    <x v="10"/>
    <d v="2025-10-04T00:00:00"/>
    <x v="0"/>
    <n v="100000"/>
  </r>
  <r>
    <n v="23"/>
    <s v="Ta Lim Algani"/>
    <n v="6282252397685"/>
    <s v="BRI (CS) 115901000648567"/>
    <x v="10"/>
    <d v="2025-10-04T00:00:00"/>
    <x v="0"/>
    <n v="100000"/>
  </r>
  <r>
    <n v="24"/>
    <s v="Filhafi Faojah"/>
    <n v="6285888444146"/>
    <s v="BSI (CS) 7316126698"/>
    <x v="1"/>
    <d v="2025-10-05T00:00:00"/>
    <x v="0"/>
    <n v="50000"/>
  </r>
  <r>
    <n v="25"/>
    <s v="Tri Yanti"/>
    <n v="6282279743633"/>
    <s v="BRI (CS) 115901000648567"/>
    <x v="11"/>
    <d v="2025-10-06T00:00:00"/>
    <x v="0"/>
    <n v="150000"/>
  </r>
  <r>
    <n v="26"/>
    <s v="Helvi Deliana"/>
    <n v="6281362191145"/>
    <s v="BNI (CS) 5005003227"/>
    <x v="12"/>
    <d v="2025-10-07T00:00:00"/>
    <x v="0"/>
    <n v="25000"/>
  </r>
  <r>
    <n v="27"/>
    <s v="Heli Yunardi"/>
    <n v="6282284244290"/>
    <s v="BSI (CS) 7316126698"/>
    <x v="13"/>
    <d v="2025-10-08T00:00:00"/>
    <x v="0"/>
    <n v="50000"/>
  </r>
  <r>
    <n v="28"/>
    <s v="Samudi"/>
    <n v="6287786306026"/>
    <s v="Mandiri (CS) 1410029052222 "/>
    <x v="14"/>
    <d v="2025-10-09T00:00:00"/>
    <x v="0"/>
    <n v="50000"/>
  </r>
  <r>
    <n v="29"/>
    <s v="Titiek Chairuniza"/>
    <n v="6281284452036"/>
    <s v="BRI (CS) 115901000648567"/>
    <x v="0"/>
    <s v="10/10/025"/>
    <x v="0"/>
    <n v="150000"/>
  </r>
  <r>
    <n v="30"/>
    <s v="Sri Peny Hartati"/>
    <n v="6285865528085"/>
    <s v="Mandiri (CS) 1410029052222 "/>
    <x v="15"/>
    <s v="10/10/025"/>
    <x v="0"/>
    <n v="200000"/>
  </r>
  <r>
    <n v="31"/>
    <s v="Yakob / Susilawati"/>
    <n v="62895326107850"/>
    <s v="BSI (CS) 7316126698"/>
    <x v="15"/>
    <s v="10/10/025"/>
    <x v="0"/>
    <n v="50000"/>
  </r>
  <r>
    <n v="32"/>
    <s v="Asrarudin "/>
    <n v="6285338528200"/>
    <s v="BNI (CS) 5005003227"/>
    <x v="16"/>
    <s v="10/10/025"/>
    <x v="0"/>
    <n v="100000"/>
  </r>
  <r>
    <n v="33"/>
    <s v="Aida Fitria Nuraini"/>
    <n v="6285860508754"/>
    <s v="Mandiri (CS) 1410029052222 "/>
    <x v="15"/>
    <s v="10/10/025"/>
    <x v="0"/>
    <n v="20000"/>
  </r>
  <r>
    <n v="34"/>
    <s v="Heppy"/>
    <n v="6285899959679"/>
    <s v="BNI (CS) 5005003227"/>
    <x v="15"/>
    <s v="10/10/025"/>
    <x v="0"/>
    <n v="50000"/>
  </r>
  <r>
    <n v="35"/>
    <s v="Umi Aisyah "/>
    <n v="6289652659222"/>
    <s v="BRI (CS) 115901000648567"/>
    <x v="15"/>
    <s v="10/10/025"/>
    <x v="0"/>
    <n v="100000"/>
  </r>
  <r>
    <n v="36"/>
    <s v="Antini"/>
    <n v="6285726947335"/>
    <s v="BNI (CS) 5005003227"/>
    <x v="15"/>
    <s v="10/10/025"/>
    <x v="0"/>
    <n v="200000"/>
  </r>
  <r>
    <n v="37"/>
    <s v="Mulyani"/>
    <n v="6285853051501"/>
    <s v="BSI (CS) 7316126698"/>
    <x v="15"/>
    <s v="10/10/025"/>
    <x v="0"/>
    <n v="200000"/>
  </r>
  <r>
    <n v="38"/>
    <s v="Hery Catur Susanti"/>
    <n v="6285695862042"/>
    <s v="Mandiri (CS) 1410029052222 "/>
    <x v="15"/>
    <s v="10/10/025"/>
    <x v="0"/>
    <n v="200000"/>
  </r>
  <r>
    <n v="39"/>
    <s v="Yuniar Hasna Ridhawati"/>
    <n v="6285655773648"/>
    <s v="BNI (CS) 5005003227"/>
    <x v="17"/>
    <s v="11/10/025"/>
    <x v="0"/>
    <n v="100000"/>
  </r>
  <r>
    <n v="40"/>
    <s v="Suryanto"/>
    <n v="6282223866664"/>
    <s v="BRI (CS) 115901000648567"/>
    <x v="17"/>
    <s v="11/10/025"/>
    <x v="0"/>
    <n v="100000"/>
  </r>
  <r>
    <n v="41"/>
    <s v="Bapak Jum"/>
    <n v="6281229891953"/>
    <s v="Mandiri (CS) 1410029052222 "/>
    <x v="17"/>
    <s v="11/10/025"/>
    <x v="0"/>
    <n v="300000"/>
  </r>
  <r>
    <n v="42"/>
    <s v="Bara Rezky"/>
    <n v="6281210069591"/>
    <s v="BSI (CS) 7316126698"/>
    <x v="17"/>
    <s v="11/10/025"/>
    <x v="0"/>
    <n v="50000"/>
  </r>
  <r>
    <m/>
    <s v="Dody Irawan"/>
    <n v="628117672974"/>
    <s v="BSI (CS) 7316126698"/>
    <x v="18"/>
    <s v="11/10/025"/>
    <x v="0"/>
    <n v="100000"/>
  </r>
  <r>
    <m/>
    <m/>
    <m/>
    <m/>
    <x v="19"/>
    <m/>
    <x v="1"/>
    <m/>
  </r>
  <r>
    <m/>
    <m/>
    <m/>
    <m/>
    <x v="19"/>
    <m/>
    <x v="1"/>
    <m/>
  </r>
  <r>
    <m/>
    <m/>
    <m/>
    <m/>
    <x v="19"/>
    <m/>
    <x v="1"/>
    <m/>
  </r>
  <r>
    <m/>
    <m/>
    <m/>
    <m/>
    <x v="19"/>
    <m/>
    <x v="1"/>
    <m/>
  </r>
  <r>
    <m/>
    <m/>
    <m/>
    <m/>
    <x v="19"/>
    <m/>
    <x v="1"/>
    <m/>
  </r>
  <r>
    <m/>
    <m/>
    <m/>
    <m/>
    <x v="19"/>
    <m/>
    <x v="1"/>
    <m/>
  </r>
  <r>
    <m/>
    <m/>
    <m/>
    <m/>
    <x v="19"/>
    <m/>
    <x v="1"/>
    <m/>
  </r>
  <r>
    <m/>
    <m/>
    <m/>
    <m/>
    <x v="19"/>
    <m/>
    <x v="1"/>
    <m/>
  </r>
  <r>
    <m/>
    <m/>
    <m/>
    <m/>
    <x v="19"/>
    <m/>
    <x v="1"/>
    <m/>
  </r>
  <r>
    <m/>
    <m/>
    <m/>
    <m/>
    <x v="19"/>
    <m/>
    <x v="1"/>
    <m/>
  </r>
  <r>
    <m/>
    <m/>
    <m/>
    <m/>
    <x v="19"/>
    <m/>
    <x v="1"/>
    <m/>
  </r>
  <r>
    <m/>
    <m/>
    <m/>
    <m/>
    <x v="19"/>
    <m/>
    <x v="1"/>
    <m/>
  </r>
  <r>
    <m/>
    <m/>
    <m/>
    <m/>
    <x v="19"/>
    <m/>
    <x v="1"/>
    <m/>
  </r>
  <r>
    <m/>
    <m/>
    <m/>
    <m/>
    <x v="19"/>
    <m/>
    <x v="1"/>
    <m/>
  </r>
  <r>
    <m/>
    <m/>
    <m/>
    <m/>
    <x v="19"/>
    <m/>
    <x v="1"/>
    <m/>
  </r>
  <r>
    <m/>
    <m/>
    <m/>
    <m/>
    <x v="19"/>
    <m/>
    <x v="1"/>
    <m/>
  </r>
  <r>
    <m/>
    <m/>
    <m/>
    <m/>
    <x v="19"/>
    <m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29152D-BF4B-4D46-94D4-C97BC747F6B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6" firstHeaderRow="1" firstDataRow="3" firstDataCol="1"/>
  <pivotFields count="11">
    <pivotField dataField="1" showAll="0"/>
    <pivotField showAll="0"/>
    <pivotField showAll="0"/>
    <pivotField showAll="0"/>
    <pivotField showAll="0">
      <items count="21">
        <item x="1"/>
        <item x="2"/>
        <item x="6"/>
        <item x="5"/>
        <item x="3"/>
        <item x="12"/>
        <item x="0"/>
        <item x="4"/>
        <item x="7"/>
        <item x="8"/>
        <item x="9"/>
        <item x="10"/>
        <item x="11"/>
        <item x="13"/>
        <item x="14"/>
        <item x="15"/>
        <item x="16"/>
        <item x="19"/>
        <item x="17"/>
        <item x="18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9"/>
  </rowFields>
  <rowItems count="21">
    <i>
      <x/>
    </i>
    <i>
      <x v="228"/>
    </i>
    <i>
      <x v="232"/>
    </i>
    <i>
      <x v="234"/>
    </i>
    <i>
      <x v="235"/>
    </i>
    <i>
      <x v="238"/>
    </i>
    <i>
      <x v="239"/>
    </i>
    <i>
      <x v="240"/>
    </i>
    <i>
      <x v="242"/>
    </i>
    <i>
      <x v="249"/>
    </i>
    <i>
      <x v="252"/>
    </i>
    <i>
      <x v="253"/>
    </i>
    <i>
      <x v="255"/>
    </i>
    <i>
      <x v="256"/>
    </i>
    <i>
      <x v="260"/>
    </i>
    <i>
      <x v="262"/>
    </i>
    <i>
      <x v="263"/>
    </i>
    <i>
      <x v="264"/>
    </i>
    <i>
      <x v="268"/>
    </i>
    <i>
      <x v="270"/>
    </i>
    <i t="grand">
      <x/>
    </i>
  </rowItems>
  <colFields count="2">
    <field x="6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Total" fld="7" baseField="0" baseItem="0"/>
    <dataField name="Count of No" fld="0" subtotal="count" baseField="10" baseItem="0"/>
  </dataFields>
  <formats count="5">
    <format dxfId="49">
      <pivotArea grandRow="1" grandCol="1"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8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format>
    <format dxfId="47">
      <pivotArea dataOnly="0" labelOnly="1" fieldPosition="0">
        <references count="1">
          <reference field="6" count="1">
            <x v="0"/>
          </reference>
        </references>
      </pivotArea>
    </format>
    <format dxfId="46">
      <pivotArea dataOnly="0" labelOnly="1" fieldPosition="0">
        <references count="1">
          <reference field="9" count="1">
            <x v="0"/>
          </reference>
        </references>
      </pivotArea>
    </format>
    <format dxfId="45">
      <pivotArea field="6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EB49F7-D434-4A11-B7BA-30BE0CB8CDE9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6" firstHeaderRow="1" firstDataRow="3" firstDataCol="1"/>
  <pivotFields count="8">
    <pivotField dataField="1" showAll="0"/>
    <pivotField showAll="0"/>
    <pivotField showAll="0"/>
    <pivotField showAll="0"/>
    <pivotField axis="axisRow" showAll="0">
      <items count="21">
        <item x="2"/>
        <item x="0"/>
        <item x="1"/>
        <item x="19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dataField="1" showAll="0"/>
  </pivotFields>
  <rowFields count="1">
    <field x="4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2">
    <field x="6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Total" fld="7" baseField="0" baseItem="0"/>
    <dataField name="Count of No" fld="0" subtotal="count" baseField="4" baseItem="0"/>
  </dataFields>
  <formats count="24">
    <format dxfId="33">
      <pivotArea dataOnly="0" labelOnly="1" fieldPosition="0">
        <references count="1">
          <reference field="6" count="1">
            <x v="0"/>
          </reference>
        </references>
      </pivotArea>
    </format>
    <format dxfId="32">
      <pivotArea field="6" grandRow="1" outline="0" collapsedLevelsAreSubtotals="1" axis="axisCol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format>
    <format dxfId="31">
      <pivotArea collapsedLevelsAreSubtotals="1" fieldPosition="0">
        <references count="3">
          <reference field="4294967294" count="1" selected="0">
            <x v="0"/>
          </reference>
          <reference field="4" count="3">
            <x v="0"/>
            <x v="1"/>
            <x v="2"/>
          </reference>
          <reference field="6" count="1" selected="0">
            <x v="0"/>
          </reference>
        </references>
      </pivotArea>
    </format>
    <format dxfId="30">
      <pivotArea grandRow="1" grandCol="1"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9">
      <pivotArea field="4" grandCol="1" collapsedLevelsAreSubtotals="1" axis="axisRow" fieldPosition="0">
        <references count="2">
          <reference field="4294967294" count="1" selected="0">
            <x v="0"/>
          </reference>
          <reference field="4" count="3">
            <x v="0"/>
            <x v="1"/>
            <x v="2"/>
          </reference>
        </references>
      </pivotArea>
    </format>
    <format dxfId="28">
      <pivotArea collapsedLevelsAreSubtotals="1" fieldPosition="0">
        <references count="3">
          <reference field="4294967294" count="1" selected="0">
            <x v="0"/>
          </reference>
          <reference field="4" count="1">
            <x v="4"/>
          </reference>
          <reference field="6" count="1" selected="0">
            <x v="0"/>
          </reference>
        </references>
      </pivotArea>
    </format>
    <format dxfId="27">
      <pivotArea field="4" grandCol="1" collapsedLevelsAreSubtotals="1" axis="axisRow" fieldPosition="0">
        <references count="2">
          <reference field="4294967294" count="1" selected="0">
            <x v="0"/>
          </reference>
          <reference field="4" count="1">
            <x v="4"/>
          </reference>
        </references>
      </pivotArea>
    </format>
    <format dxfId="26">
      <pivotArea field="4" grandCol="1" collapsedLevelsAreSubtotals="1" axis="axisRow" fieldPosition="0">
        <references count="2">
          <reference field="4294967294" count="1" selected="0">
            <x v="0"/>
          </reference>
          <reference field="4" count="2">
            <x v="5"/>
            <x v="6"/>
          </reference>
        </references>
      </pivotArea>
    </format>
    <format dxfId="25">
      <pivotArea field="4" grandCol="1" collapsedLevelsAreSubtotals="1" axis="axisRow" fieldPosition="0">
        <references count="2">
          <reference field="4294967294" count="1" selected="0">
            <x v="0"/>
          </reference>
          <reference field="4" count="4">
            <x v="7"/>
            <x v="8"/>
            <x v="9"/>
            <x v="10"/>
          </reference>
        </references>
      </pivotArea>
    </format>
    <format dxfId="24">
      <pivotArea collapsedLevelsAreSubtotals="1" fieldPosition="0">
        <references count="3">
          <reference field="4294967294" count="1" selected="0">
            <x v="0"/>
          </reference>
          <reference field="4" count="6">
            <x v="5"/>
            <x v="6"/>
            <x v="7"/>
            <x v="8"/>
            <x v="9"/>
            <x v="10"/>
          </reference>
          <reference field="6" count="1" selected="0">
            <x v="0"/>
          </reference>
        </references>
      </pivotArea>
    </format>
    <format dxfId="23">
      <pivotArea field="4" grandCol="1" collapsedLevelsAreSubtotals="1" axis="axisRow" fieldPosition="0">
        <references count="2">
          <reference field="4294967294" count="1" selected="0">
            <x v="0"/>
          </reference>
          <reference field="4" count="1">
            <x v="11"/>
          </reference>
        </references>
      </pivotArea>
    </format>
    <format dxfId="22">
      <pivotArea collapsedLevelsAreSubtotals="1" fieldPosition="0">
        <references count="3">
          <reference field="4294967294" count="1" selected="0">
            <x v="0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21">
      <pivotArea collapsedLevelsAreSubtotals="1" fieldPosition="0">
        <references count="3">
          <reference field="4294967294" count="1" selected="0">
            <x v="0"/>
          </reference>
          <reference field="4" count="3">
            <x v="12"/>
            <x v="13"/>
            <x v="14"/>
          </reference>
          <reference field="6" count="1" selected="0">
            <x v="0"/>
          </reference>
        </references>
      </pivotArea>
    </format>
    <format dxfId="20">
      <pivotArea field="4" grandCol="1" collapsedLevelsAreSubtotals="1" axis="axisRow" fieldPosition="0">
        <references count="2">
          <reference field="4294967294" count="1" selected="0">
            <x v="0"/>
          </reference>
          <reference field="4" count="1">
            <x v="12"/>
          </reference>
        </references>
      </pivotArea>
    </format>
    <format dxfId="19">
      <pivotArea field="4" grandCol="1" collapsedLevelsAreSubtotals="1" axis="axisRow" fieldPosition="0">
        <references count="2">
          <reference field="4294967294" count="1" selected="0">
            <x v="0"/>
          </reference>
          <reference field="4" count="1">
            <x v="13"/>
          </reference>
        </references>
      </pivotArea>
    </format>
    <format dxfId="18">
      <pivotArea field="4" grandCol="1" collapsedLevelsAreSubtotals="1" axis="axisRow" fieldPosition="0">
        <references count="2">
          <reference field="4294967294" count="1" selected="0">
            <x v="0"/>
          </reference>
          <reference field="4" count="1">
            <x v="14"/>
          </reference>
        </references>
      </pivotArea>
    </format>
    <format dxfId="17">
      <pivotArea collapsedLevelsAreSubtotals="1" fieldPosition="0">
        <references count="3">
          <reference field="4294967294" count="1" selected="0">
            <x v="0"/>
          </reference>
          <reference field="4" count="1">
            <x v="15"/>
          </reference>
          <reference field="6" count="1" selected="0">
            <x v="0"/>
          </reference>
        </references>
      </pivotArea>
    </format>
    <format dxfId="16">
      <pivotArea field="4" grandCol="1" collapsedLevelsAreSubtotals="1" axis="axisRow" fieldPosition="0">
        <references count="2">
          <reference field="4294967294" count="1" selected="0">
            <x v="0"/>
          </reference>
          <reference field="4" count="1">
            <x v="15"/>
          </reference>
        </references>
      </pivotArea>
    </format>
    <format dxfId="15">
      <pivotArea collapsedLevelsAreSubtotals="1" fieldPosition="0">
        <references count="3">
          <reference field="4294967294" count="1" selected="0">
            <x v="0"/>
          </reference>
          <reference field="4" count="2">
            <x v="16"/>
            <x v="17"/>
          </reference>
          <reference field="6" count="1" selected="0">
            <x v="0"/>
          </reference>
        </references>
      </pivotArea>
    </format>
    <format dxfId="14">
      <pivotArea field="4" grandCol="1" collapsedLevelsAreSubtotals="1" axis="axisRow" fieldPosition="0">
        <references count="2">
          <reference field="4294967294" count="1" selected="0">
            <x v="0"/>
          </reference>
          <reference field="4" count="2">
            <x v="16"/>
            <x v="17"/>
          </reference>
        </references>
      </pivotArea>
    </format>
    <format dxfId="13">
      <pivotArea collapsedLevelsAreSubtotals="1" fieldPosition="0">
        <references count="3">
          <reference field="4294967294" count="1" selected="0">
            <x v="0"/>
          </reference>
          <reference field="4" count="1">
            <x v="18"/>
          </reference>
          <reference field="6" count="1" selected="0">
            <x v="0"/>
          </reference>
        </references>
      </pivotArea>
    </format>
    <format dxfId="12">
      <pivotArea field="4" grandCol="1" collapsedLevelsAreSubtotals="1" axis="axisRow" fieldPosition="0">
        <references count="2">
          <reference field="4294967294" count="1" selected="0">
            <x v="0"/>
          </reference>
          <reference field="4" count="1">
            <x v="18"/>
          </reference>
        </references>
      </pivotArea>
    </format>
    <format dxfId="11">
      <pivotArea collapsedLevelsAreSubtotals="1" fieldPosition="0">
        <references count="3">
          <reference field="4294967294" count="1" selected="0">
            <x v="0"/>
          </reference>
          <reference field="4" count="1">
            <x v="19"/>
          </reference>
          <reference field="6" count="1" selected="0">
            <x v="0"/>
          </reference>
        </references>
      </pivotArea>
    </format>
    <format dxfId="10">
      <pivotArea field="4" grandCol="1" collapsedLevelsAreSubtotals="1" axis="axisRow" fieldPosition="0">
        <references count="2">
          <reference field="4294967294" count="1" selected="0">
            <x v="0"/>
          </reference>
          <reference field="4" count="1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3A97BC-E882-4ABD-8C79-728DD9C0AC64}" name="Table2" displayName="Table2" ref="A1:I54" totalsRowShown="0">
  <autoFilter ref="A1:I54" xr:uid="{25625092-F70D-40D9-B38A-D8820FE54B33}"/>
  <sortState xmlns:xlrd2="http://schemas.microsoft.com/office/spreadsheetml/2017/richdata2" ref="A2:I12">
    <sortCondition ref="F1:F12"/>
  </sortState>
  <tableColumns count="9">
    <tableColumn id="1" xr3:uid="{F87E9F52-AFE7-45A2-8C8D-F49751F4ADDB}" name="No" dataDxfId="44"/>
    <tableColumn id="2" xr3:uid="{AA90CA87-664A-4D9A-8F21-DB6B6A60FC5E}" name="Donatur" dataDxfId="43"/>
    <tableColumn id="3" xr3:uid="{5A4DF5A0-DCF2-491A-A35B-D1ED28E4626D}" name="Whatsapp" dataDxfId="42"/>
    <tableColumn id="4" xr3:uid="{DC09CE88-C09C-4AF0-8E5E-2CAD3331D171}" name="Payment Account" dataDxfId="41"/>
    <tableColumn id="9" xr3:uid="{5F7744ED-B7E2-4DA5-B716-75FEF386D2EF}" name="Date Blast" dataDxfId="40"/>
    <tableColumn id="5" xr3:uid="{225ABF6E-DF60-42FB-9430-C199DC0F2FB3}" name="Date" dataDxfId="39"/>
    <tableColumn id="6" xr3:uid="{DF58D37C-45D6-46EF-984F-DB98A536C5A9}" name="Nomor CS" dataDxfId="38"/>
    <tableColumn id="7" xr3:uid="{D0A17B28-5487-4972-8128-B8B8A227023F}" name="Total" dataDxfId="37" dataCellStyle="Currency [0]"/>
    <tableColumn id="10" xr3:uid="{BF590A61-9FEE-4FE4-BC92-09F57BD5C0EB}" name="Column1" dataDxfId="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3EC7A4-F204-4CCB-9DD2-15AFB5725EE8}" name="Table3" displayName="Table3" ref="A3:H5" totalsRowShown="0">
  <autoFilter ref="A3:H5" xr:uid="{E83EC7A4-F204-4CCB-9DD2-15AFB5725EE8}"/>
  <tableColumns count="8">
    <tableColumn id="1" xr3:uid="{A19B2BCD-2308-4A37-9C2C-6C95013B47CB}" name="No"/>
    <tableColumn id="2" xr3:uid="{F5675F2E-FAFF-46FD-B18A-74EE30993139}" name="Donatur"/>
    <tableColumn id="3" xr3:uid="{31048564-CA0D-4685-B39F-B3BAFE50001F}" name="Whatsapp"/>
    <tableColumn id="4" xr3:uid="{9F97C559-34A3-4CD5-9437-9E23E4AC8254}" name="Payment Account"/>
    <tableColumn id="5" xr3:uid="{56260FFD-0097-44A4-B3C9-A81BED6FDB46}" name="Date Blast" dataDxfId="35"/>
    <tableColumn id="6" xr3:uid="{3C3980B2-E9F7-49BC-91C4-485C8BE2DD79}" name="Date" dataDxfId="34"/>
    <tableColumn id="7" xr3:uid="{08762A6E-2A5E-4CDA-BAE3-EB1BB41C4EB5}" name="Nomor CS"/>
    <tableColumn id="8" xr3:uid="{AA617AE1-FAF5-49FC-8B83-EDE3A9F60E4F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E045F-8456-4707-A74B-0766D1F9B9BB}">
  <dimension ref="A3:G26"/>
  <sheetViews>
    <sheetView topLeftCell="A19" workbookViewId="0">
      <selection activeCell="B37" sqref="B37"/>
    </sheetView>
  </sheetViews>
  <sheetFormatPr defaultRowHeight="14.5" x14ac:dyDescent="0.35"/>
  <cols>
    <col min="1" max="1" width="12.36328125" bestFit="1" customWidth="1"/>
    <col min="2" max="2" width="15.26953125" bestFit="1" customWidth="1"/>
    <col min="3" max="3" width="10.90625" bestFit="1" customWidth="1"/>
    <col min="4" max="4" width="11.36328125" bestFit="1" customWidth="1"/>
    <col min="5" max="5" width="10.90625" bestFit="1" customWidth="1"/>
    <col min="6" max="6" width="16.1796875" style="30" bestFit="1" customWidth="1"/>
    <col min="7" max="7" width="15.7265625" bestFit="1" customWidth="1"/>
    <col min="8" max="18" width="10.453125" bestFit="1" customWidth="1"/>
    <col min="19" max="19" width="6.7265625" bestFit="1" customWidth="1"/>
    <col min="20" max="20" width="10.7265625" bestFit="1" customWidth="1"/>
  </cols>
  <sheetData>
    <row r="3" spans="1:7" x14ac:dyDescent="0.35">
      <c r="B3" s="31" t="s">
        <v>25</v>
      </c>
      <c r="F3"/>
    </row>
    <row r="4" spans="1:7" x14ac:dyDescent="0.35">
      <c r="B4" s="1">
        <v>6287851627778</v>
      </c>
      <c r="C4" s="1"/>
      <c r="D4" t="s">
        <v>26</v>
      </c>
      <c r="F4" t="s">
        <v>27</v>
      </c>
      <c r="G4" t="s">
        <v>28</v>
      </c>
    </row>
    <row r="5" spans="1:7" x14ac:dyDescent="0.35">
      <c r="A5" s="31" t="s">
        <v>29</v>
      </c>
      <c r="B5" t="s">
        <v>30</v>
      </c>
      <c r="C5" t="s">
        <v>31</v>
      </c>
      <c r="D5" t="s">
        <v>30</v>
      </c>
      <c r="E5" t="s">
        <v>31</v>
      </c>
      <c r="F5"/>
    </row>
    <row r="6" spans="1:7" x14ac:dyDescent="0.35">
      <c r="A6" s="29" t="s">
        <v>32</v>
      </c>
      <c r="B6" s="30"/>
    </row>
    <row r="7" spans="1:7" x14ac:dyDescent="0.35">
      <c r="A7" s="11" t="s">
        <v>33</v>
      </c>
      <c r="B7" s="30">
        <v>100000</v>
      </c>
      <c r="C7">
        <v>1</v>
      </c>
      <c r="F7" s="30">
        <v>100000</v>
      </c>
      <c r="G7">
        <v>1</v>
      </c>
    </row>
    <row r="8" spans="1:7" x14ac:dyDescent="0.35">
      <c r="A8" s="11" t="s">
        <v>34</v>
      </c>
      <c r="B8" s="30">
        <v>50000</v>
      </c>
      <c r="C8">
        <v>1</v>
      </c>
      <c r="F8" s="30">
        <v>50000</v>
      </c>
      <c r="G8">
        <v>1</v>
      </c>
    </row>
    <row r="9" spans="1:7" x14ac:dyDescent="0.35">
      <c r="A9" s="11" t="s">
        <v>35</v>
      </c>
      <c r="B9" s="30">
        <v>50000</v>
      </c>
      <c r="C9">
        <v>1</v>
      </c>
      <c r="F9" s="30">
        <v>50000</v>
      </c>
      <c r="G9">
        <v>1</v>
      </c>
    </row>
    <row r="10" spans="1:7" x14ac:dyDescent="0.35">
      <c r="A10" s="11" t="s">
        <v>36</v>
      </c>
      <c r="B10" s="30">
        <v>3000000</v>
      </c>
      <c r="C10">
        <v>6</v>
      </c>
      <c r="F10" s="30">
        <v>3000000</v>
      </c>
      <c r="G10">
        <v>6</v>
      </c>
    </row>
    <row r="11" spans="1:7" x14ac:dyDescent="0.35">
      <c r="A11" s="11" t="s">
        <v>37</v>
      </c>
      <c r="B11" s="30">
        <v>200000</v>
      </c>
      <c r="C11">
        <v>2</v>
      </c>
      <c r="F11" s="30">
        <v>200000</v>
      </c>
      <c r="G11">
        <v>2</v>
      </c>
    </row>
    <row r="12" spans="1:7" x14ac:dyDescent="0.35">
      <c r="A12" s="11" t="s">
        <v>38</v>
      </c>
      <c r="B12" s="30">
        <v>100000</v>
      </c>
      <c r="C12">
        <v>1</v>
      </c>
      <c r="F12" s="30">
        <v>100000</v>
      </c>
      <c r="G12">
        <v>1</v>
      </c>
    </row>
    <row r="13" spans="1:7" x14ac:dyDescent="0.35">
      <c r="A13" s="11" t="s">
        <v>39</v>
      </c>
      <c r="B13" s="30">
        <v>400000</v>
      </c>
      <c r="C13">
        <v>3</v>
      </c>
      <c r="F13" s="30">
        <v>400000</v>
      </c>
      <c r="G13">
        <v>3</v>
      </c>
    </row>
    <row r="14" spans="1:7" x14ac:dyDescent="0.35">
      <c r="A14" s="11" t="s">
        <v>40</v>
      </c>
      <c r="B14" s="30">
        <v>613000</v>
      </c>
      <c r="C14">
        <v>8</v>
      </c>
      <c r="F14" s="30">
        <v>613000</v>
      </c>
      <c r="G14">
        <v>8</v>
      </c>
    </row>
    <row r="15" spans="1:7" x14ac:dyDescent="0.35">
      <c r="A15" s="11" t="s">
        <v>41</v>
      </c>
      <c r="B15" s="30">
        <v>500375</v>
      </c>
      <c r="C15">
        <v>5</v>
      </c>
      <c r="F15" s="30">
        <v>500375</v>
      </c>
      <c r="G15">
        <v>5</v>
      </c>
    </row>
    <row r="16" spans="1:7" x14ac:dyDescent="0.35">
      <c r="A16" s="11" t="s">
        <v>42</v>
      </c>
      <c r="B16" s="30">
        <v>50000</v>
      </c>
      <c r="C16">
        <v>1</v>
      </c>
      <c r="F16" s="30">
        <v>50000</v>
      </c>
      <c r="G16">
        <v>1</v>
      </c>
    </row>
    <row r="17" spans="1:7" x14ac:dyDescent="0.35">
      <c r="A17" s="11" t="s">
        <v>43</v>
      </c>
      <c r="B17" s="30">
        <v>800000</v>
      </c>
      <c r="C17">
        <v>5</v>
      </c>
      <c r="F17" s="30">
        <v>800000</v>
      </c>
      <c r="G17">
        <v>5</v>
      </c>
    </row>
    <row r="18" spans="1:7" x14ac:dyDescent="0.35">
      <c r="A18" s="11" t="s">
        <v>44</v>
      </c>
      <c r="B18" s="30">
        <v>545000</v>
      </c>
      <c r="C18">
        <v>4</v>
      </c>
      <c r="F18" s="30">
        <v>545000</v>
      </c>
      <c r="G18">
        <v>4</v>
      </c>
    </row>
    <row r="19" spans="1:7" x14ac:dyDescent="0.35">
      <c r="A19" s="11" t="s">
        <v>45</v>
      </c>
      <c r="B19" s="30">
        <v>450000</v>
      </c>
      <c r="C19">
        <v>3</v>
      </c>
      <c r="F19" s="30">
        <v>450000</v>
      </c>
      <c r="G19">
        <v>3</v>
      </c>
    </row>
    <row r="20" spans="1:7" x14ac:dyDescent="0.35">
      <c r="A20" s="11" t="s">
        <v>46</v>
      </c>
      <c r="B20" s="30">
        <v>100000</v>
      </c>
      <c r="C20">
        <v>1</v>
      </c>
      <c r="F20" s="30">
        <v>100000</v>
      </c>
      <c r="G20">
        <v>1</v>
      </c>
    </row>
    <row r="21" spans="1:7" x14ac:dyDescent="0.35">
      <c r="A21" s="11" t="s">
        <v>47</v>
      </c>
      <c r="B21" s="30">
        <v>120000</v>
      </c>
      <c r="C21">
        <v>2</v>
      </c>
      <c r="F21" s="30">
        <v>120000</v>
      </c>
      <c r="G21">
        <v>2</v>
      </c>
    </row>
    <row r="22" spans="1:7" x14ac:dyDescent="0.35">
      <c r="A22" s="11" t="s">
        <v>48</v>
      </c>
      <c r="B22" s="30">
        <v>225000</v>
      </c>
      <c r="C22">
        <v>3</v>
      </c>
      <c r="F22" s="30">
        <v>225000</v>
      </c>
      <c r="G22">
        <v>3</v>
      </c>
    </row>
    <row r="23" spans="1:7" x14ac:dyDescent="0.35">
      <c r="A23" s="11" t="s">
        <v>49</v>
      </c>
      <c r="B23" s="30">
        <v>50000</v>
      </c>
      <c r="C23">
        <v>1</v>
      </c>
      <c r="F23" s="30">
        <v>50000</v>
      </c>
      <c r="G23">
        <v>1</v>
      </c>
    </row>
    <row r="24" spans="1:7" x14ac:dyDescent="0.35">
      <c r="A24" s="11" t="s">
        <v>51</v>
      </c>
      <c r="B24" s="30">
        <v>100000</v>
      </c>
      <c r="F24" s="30">
        <v>100000</v>
      </c>
    </row>
    <row r="25" spans="1:7" x14ac:dyDescent="0.35">
      <c r="A25" s="11" t="s">
        <v>52</v>
      </c>
      <c r="B25" s="30">
        <v>200000</v>
      </c>
      <c r="F25" s="30">
        <v>200000</v>
      </c>
    </row>
    <row r="26" spans="1:7" x14ac:dyDescent="0.35">
      <c r="A26" s="11" t="s">
        <v>50</v>
      </c>
      <c r="B26" s="30">
        <v>7653375</v>
      </c>
      <c r="C26">
        <v>48</v>
      </c>
      <c r="F26" s="30">
        <v>7653375</v>
      </c>
      <c r="G26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68F22-A010-4330-87C0-32565E8D728D}">
  <dimension ref="A1:S60"/>
  <sheetViews>
    <sheetView tabSelected="1" topLeftCell="A28" zoomScaleNormal="100" workbookViewId="0">
      <selection activeCell="B42" sqref="B42"/>
    </sheetView>
  </sheetViews>
  <sheetFormatPr defaultRowHeight="14.5" x14ac:dyDescent="0.35"/>
  <cols>
    <col min="1" max="1" width="5.54296875" customWidth="1"/>
    <col min="2" max="2" width="39" customWidth="1"/>
    <col min="3" max="3" width="16.36328125" style="1" bestFit="1" customWidth="1"/>
    <col min="4" max="4" width="25.36328125" bestFit="1" customWidth="1"/>
    <col min="5" max="5" width="11.6328125" bestFit="1" customWidth="1"/>
    <col min="6" max="6" width="10.453125" style="2" bestFit="1" customWidth="1"/>
    <col min="7" max="7" width="13.90625" style="1" bestFit="1" customWidth="1"/>
    <col min="8" max="8" width="12.7265625" style="27" customWidth="1"/>
    <col min="9" max="9" width="11.1796875" hidden="1" customWidth="1"/>
    <col min="10" max="10" width="31" bestFit="1" customWidth="1"/>
    <col min="11" max="11" width="27.81640625" bestFit="1" customWidth="1"/>
    <col min="12" max="12" width="13.81640625" customWidth="1"/>
  </cols>
  <sheetData>
    <row r="1" spans="1:19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2" t="s">
        <v>5</v>
      </c>
      <c r="G1" s="1" t="s">
        <v>6</v>
      </c>
      <c r="H1" s="3" t="s">
        <v>7</v>
      </c>
      <c r="I1" t="s">
        <v>8</v>
      </c>
    </row>
    <row r="2" spans="1:19" x14ac:dyDescent="0.35">
      <c r="A2" s="4">
        <v>1</v>
      </c>
      <c r="B2" s="16" t="s">
        <v>54</v>
      </c>
      <c r="C2" s="17">
        <v>6281284452036</v>
      </c>
      <c r="D2" s="18" t="s">
        <v>9</v>
      </c>
      <c r="E2" s="21">
        <v>45924</v>
      </c>
      <c r="F2" s="21">
        <v>45926</v>
      </c>
      <c r="G2" s="22">
        <v>6287851627778</v>
      </c>
      <c r="H2" s="19">
        <v>100000</v>
      </c>
      <c r="I2" s="10"/>
    </row>
    <row r="3" spans="1:19" x14ac:dyDescent="0.35">
      <c r="A3" s="4">
        <v>2</v>
      </c>
      <c r="B3" s="16" t="s">
        <v>10</v>
      </c>
      <c r="C3" s="17">
        <v>62895704945944</v>
      </c>
      <c r="D3" s="18" t="s">
        <v>14</v>
      </c>
      <c r="E3" s="21">
        <v>45926</v>
      </c>
      <c r="F3" s="21">
        <v>45926</v>
      </c>
      <c r="G3" s="22">
        <v>6287851627778</v>
      </c>
      <c r="H3" s="19">
        <v>100000</v>
      </c>
      <c r="I3" s="6"/>
      <c r="R3" s="34"/>
      <c r="S3" s="34"/>
    </row>
    <row r="4" spans="1:19" x14ac:dyDescent="0.35">
      <c r="A4" s="4">
        <v>3</v>
      </c>
      <c r="B4" s="16" t="s">
        <v>23</v>
      </c>
      <c r="C4" s="17">
        <v>6287827677776</v>
      </c>
      <c r="D4" s="18" t="s">
        <v>9</v>
      </c>
      <c r="E4" s="21">
        <v>45911</v>
      </c>
      <c r="F4" s="21">
        <v>45926</v>
      </c>
      <c r="G4" s="22">
        <v>6287851627778</v>
      </c>
      <c r="H4" s="19">
        <v>20000</v>
      </c>
      <c r="I4" s="6"/>
    </row>
    <row r="5" spans="1:19" x14ac:dyDescent="0.35">
      <c r="A5" s="4">
        <v>4</v>
      </c>
      <c r="B5" s="16" t="s">
        <v>24</v>
      </c>
      <c r="C5" s="17">
        <v>6289682370909</v>
      </c>
      <c r="D5" s="18" t="s">
        <v>14</v>
      </c>
      <c r="E5" s="21">
        <v>45926</v>
      </c>
      <c r="F5" s="21">
        <v>45926</v>
      </c>
      <c r="G5" s="22">
        <v>6287851627778</v>
      </c>
      <c r="H5" s="19">
        <v>100000</v>
      </c>
      <c r="I5" s="6"/>
      <c r="J5" t="s">
        <v>12</v>
      </c>
      <c r="K5" s="11" t="s">
        <v>13</v>
      </c>
    </row>
    <row r="6" spans="1:19" x14ac:dyDescent="0.35">
      <c r="A6" s="4">
        <v>5</v>
      </c>
      <c r="B6" s="4" t="s">
        <v>53</v>
      </c>
      <c r="C6" s="12">
        <v>6281358105489</v>
      </c>
      <c r="D6" s="6" t="s">
        <v>9</v>
      </c>
      <c r="E6" s="21">
        <v>45926</v>
      </c>
      <c r="F6" s="21">
        <v>45926</v>
      </c>
      <c r="G6" s="8">
        <v>6287851627778</v>
      </c>
      <c r="H6" s="13">
        <v>50000</v>
      </c>
      <c r="I6" s="14"/>
      <c r="J6" t="s">
        <v>14</v>
      </c>
      <c r="K6" s="11" t="s">
        <v>12</v>
      </c>
    </row>
    <row r="7" spans="1:19" x14ac:dyDescent="0.35">
      <c r="A7" s="4">
        <v>6</v>
      </c>
      <c r="B7" s="4" t="s">
        <v>55</v>
      </c>
      <c r="C7" s="12">
        <v>6285293243559</v>
      </c>
      <c r="D7" s="6" t="s">
        <v>16</v>
      </c>
      <c r="E7" s="21">
        <v>45926</v>
      </c>
      <c r="F7" s="21">
        <v>45926</v>
      </c>
      <c r="G7" s="8">
        <v>6287851627778</v>
      </c>
      <c r="H7" s="13">
        <v>100000</v>
      </c>
      <c r="I7" s="6"/>
      <c r="J7" t="s">
        <v>15</v>
      </c>
      <c r="K7" s="11" t="s">
        <v>14</v>
      </c>
    </row>
    <row r="8" spans="1:19" x14ac:dyDescent="0.35">
      <c r="A8" s="4">
        <v>7</v>
      </c>
      <c r="B8" s="4" t="s">
        <v>56</v>
      </c>
      <c r="C8" s="12">
        <v>6281253694272</v>
      </c>
      <c r="D8" s="6" t="s">
        <v>16</v>
      </c>
      <c r="E8" s="21">
        <v>45926</v>
      </c>
      <c r="F8" s="21">
        <v>45926</v>
      </c>
      <c r="G8" s="8">
        <v>6287851627778</v>
      </c>
      <c r="H8" s="13">
        <v>100000</v>
      </c>
      <c r="I8" s="6"/>
      <c r="J8" t="s">
        <v>11</v>
      </c>
      <c r="K8" s="11"/>
    </row>
    <row r="9" spans="1:19" x14ac:dyDescent="0.35">
      <c r="A9" s="4">
        <v>8</v>
      </c>
      <c r="B9" s="4" t="s">
        <v>57</v>
      </c>
      <c r="C9" s="12">
        <v>6287758712611</v>
      </c>
      <c r="D9" s="6" t="s">
        <v>16</v>
      </c>
      <c r="E9" s="21">
        <v>45911</v>
      </c>
      <c r="F9" s="21">
        <v>45926</v>
      </c>
      <c r="G9" s="8">
        <v>6287851627778</v>
      </c>
      <c r="H9" s="13">
        <v>50000</v>
      </c>
      <c r="I9" s="6"/>
      <c r="J9" t="s">
        <v>17</v>
      </c>
      <c r="K9" s="11" t="s">
        <v>18</v>
      </c>
    </row>
    <row r="10" spans="1:19" x14ac:dyDescent="0.35">
      <c r="A10" s="4">
        <v>9</v>
      </c>
      <c r="B10" s="4" t="s">
        <v>58</v>
      </c>
      <c r="C10" s="12">
        <v>628117672974</v>
      </c>
      <c r="D10" s="6" t="s">
        <v>9</v>
      </c>
      <c r="E10" s="7">
        <v>45905</v>
      </c>
      <c r="F10" s="7">
        <v>45927</v>
      </c>
      <c r="G10" s="8">
        <v>6287851627778</v>
      </c>
      <c r="H10" s="13">
        <v>100000</v>
      </c>
      <c r="I10" s="6"/>
      <c r="J10" t="s">
        <v>9</v>
      </c>
      <c r="K10" s="11" t="s">
        <v>19</v>
      </c>
    </row>
    <row r="11" spans="1:19" x14ac:dyDescent="0.35">
      <c r="A11" s="4">
        <v>10</v>
      </c>
      <c r="B11" s="4" t="s">
        <v>59</v>
      </c>
      <c r="C11" s="12">
        <v>628129955091</v>
      </c>
      <c r="D11" s="6" t="s">
        <v>15</v>
      </c>
      <c r="E11" s="7">
        <v>45918</v>
      </c>
      <c r="F11" s="7">
        <v>45929</v>
      </c>
      <c r="G11" s="8">
        <v>6287851627778</v>
      </c>
      <c r="H11" s="13">
        <v>50633</v>
      </c>
      <c r="I11" s="6"/>
      <c r="J11" t="s">
        <v>20</v>
      </c>
      <c r="K11" s="11" t="s">
        <v>11</v>
      </c>
    </row>
    <row r="12" spans="1:19" x14ac:dyDescent="0.35">
      <c r="A12" s="4">
        <v>11</v>
      </c>
      <c r="B12" s="4" t="s">
        <v>60</v>
      </c>
      <c r="C12" s="5">
        <v>6281383719672</v>
      </c>
      <c r="D12" s="6" t="s">
        <v>9</v>
      </c>
      <c r="E12" s="21">
        <v>45926</v>
      </c>
      <c r="F12" s="7">
        <v>45929</v>
      </c>
      <c r="G12" s="8">
        <v>6287851627778</v>
      </c>
      <c r="H12" s="9">
        <v>100000</v>
      </c>
      <c r="I12" s="14"/>
      <c r="J12" t="s">
        <v>16</v>
      </c>
      <c r="K12" s="15"/>
    </row>
    <row r="13" spans="1:19" x14ac:dyDescent="0.35">
      <c r="A13" s="4">
        <v>12</v>
      </c>
      <c r="B13" s="16" t="s">
        <v>61</v>
      </c>
      <c r="C13" s="17">
        <v>6282293001020</v>
      </c>
      <c r="D13" s="18" t="s">
        <v>9</v>
      </c>
      <c r="E13" s="21">
        <v>45926</v>
      </c>
      <c r="F13" s="7">
        <v>45929</v>
      </c>
      <c r="G13" s="8">
        <v>6287851627778</v>
      </c>
      <c r="H13" s="9">
        <v>100000</v>
      </c>
      <c r="I13" s="18"/>
      <c r="K13" s="11" t="s">
        <v>21</v>
      </c>
    </row>
    <row r="14" spans="1:19" x14ac:dyDescent="0.35">
      <c r="A14" s="4">
        <v>13</v>
      </c>
      <c r="B14" s="4" t="s">
        <v>62</v>
      </c>
      <c r="C14" s="12">
        <v>6282123149118</v>
      </c>
      <c r="D14" s="6" t="s">
        <v>14</v>
      </c>
      <c r="E14" s="7">
        <v>45918</v>
      </c>
      <c r="F14" s="7">
        <v>45930</v>
      </c>
      <c r="G14" s="8">
        <v>6287851627778</v>
      </c>
      <c r="H14" s="13">
        <v>100000</v>
      </c>
      <c r="I14" s="6"/>
      <c r="K14" s="11" t="s">
        <v>17</v>
      </c>
    </row>
    <row r="15" spans="1:19" x14ac:dyDescent="0.35">
      <c r="A15" s="4">
        <v>14</v>
      </c>
      <c r="B15" s="4" t="s">
        <v>64</v>
      </c>
      <c r="C15" s="12">
        <v>6282214688293</v>
      </c>
      <c r="D15" s="6" t="s">
        <v>11</v>
      </c>
      <c r="E15" s="7">
        <v>45919</v>
      </c>
      <c r="F15" s="7">
        <v>45932</v>
      </c>
      <c r="G15" s="8">
        <v>6287851627778</v>
      </c>
      <c r="H15" s="13">
        <v>100000</v>
      </c>
      <c r="I15" s="6"/>
      <c r="J15" s="20">
        <v>6287851627778</v>
      </c>
      <c r="K15" s="11" t="s">
        <v>9</v>
      </c>
    </row>
    <row r="16" spans="1:19" x14ac:dyDescent="0.35">
      <c r="A16" s="4">
        <v>15</v>
      </c>
      <c r="B16" s="4" t="s">
        <v>65</v>
      </c>
      <c r="C16" s="12">
        <v>6282251155904</v>
      </c>
      <c r="D16" s="6" t="s">
        <v>16</v>
      </c>
      <c r="E16" s="7">
        <v>45930</v>
      </c>
      <c r="F16" s="7">
        <v>45933</v>
      </c>
      <c r="G16" s="8">
        <v>6287851627778</v>
      </c>
      <c r="H16" s="13">
        <v>100000</v>
      </c>
      <c r="I16" s="6"/>
      <c r="J16" s="20">
        <v>6285119990038</v>
      </c>
      <c r="K16" s="15"/>
    </row>
    <row r="17" spans="1:11" x14ac:dyDescent="0.35">
      <c r="A17" s="4">
        <v>16</v>
      </c>
      <c r="B17" s="4" t="s">
        <v>66</v>
      </c>
      <c r="C17" s="12">
        <v>6282256447917</v>
      </c>
      <c r="D17" s="6" t="s">
        <v>14</v>
      </c>
      <c r="E17" s="7">
        <v>45933</v>
      </c>
      <c r="F17" s="7">
        <v>45933</v>
      </c>
      <c r="G17" s="8">
        <v>6287851627778</v>
      </c>
      <c r="H17" s="13">
        <v>100000</v>
      </c>
      <c r="I17" s="6"/>
      <c r="K17" s="11" t="s">
        <v>22</v>
      </c>
    </row>
    <row r="18" spans="1:11" x14ac:dyDescent="0.35">
      <c r="A18" s="4">
        <v>17</v>
      </c>
      <c r="B18" s="4" t="s">
        <v>67</v>
      </c>
      <c r="C18" s="12">
        <v>628995357321</v>
      </c>
      <c r="D18" s="6" t="s">
        <v>16</v>
      </c>
      <c r="E18" s="7">
        <v>45933</v>
      </c>
      <c r="F18" s="7">
        <v>45933</v>
      </c>
      <c r="G18" s="8">
        <v>6287851627778</v>
      </c>
      <c r="H18" s="13">
        <v>50000</v>
      </c>
      <c r="I18" s="6"/>
      <c r="K18" s="11" t="s">
        <v>20</v>
      </c>
    </row>
    <row r="19" spans="1:11" x14ac:dyDescent="0.35">
      <c r="A19" s="4">
        <v>18</v>
      </c>
      <c r="B19" s="4" t="s">
        <v>68</v>
      </c>
      <c r="C19" s="12">
        <v>628159493776</v>
      </c>
      <c r="D19" s="6" t="s">
        <v>14</v>
      </c>
      <c r="E19" s="7">
        <v>45933</v>
      </c>
      <c r="F19" s="7">
        <v>45933</v>
      </c>
      <c r="G19" s="8">
        <v>6287851627778</v>
      </c>
      <c r="H19" s="13">
        <v>100000</v>
      </c>
      <c r="I19" s="6"/>
      <c r="K19" s="11" t="s">
        <v>16</v>
      </c>
    </row>
    <row r="20" spans="1:11" x14ac:dyDescent="0.35">
      <c r="A20" s="4">
        <v>19</v>
      </c>
      <c r="B20" s="4" t="s">
        <v>58</v>
      </c>
      <c r="C20" s="12">
        <v>628117672974</v>
      </c>
      <c r="D20" s="6" t="s">
        <v>9</v>
      </c>
      <c r="E20" s="7">
        <v>45932</v>
      </c>
      <c r="F20" s="7">
        <v>45933</v>
      </c>
      <c r="G20" s="8">
        <v>6287851627778</v>
      </c>
      <c r="H20" s="13">
        <v>100000</v>
      </c>
      <c r="I20" s="6"/>
    </row>
    <row r="21" spans="1:11" x14ac:dyDescent="0.35">
      <c r="A21" s="4">
        <v>20</v>
      </c>
      <c r="B21" s="4" t="s">
        <v>69</v>
      </c>
      <c r="C21" s="12">
        <v>6285777131895</v>
      </c>
      <c r="D21" s="6" t="s">
        <v>9</v>
      </c>
      <c r="E21" s="7">
        <v>45917</v>
      </c>
      <c r="F21" s="7">
        <v>45934</v>
      </c>
      <c r="G21" s="8">
        <v>6287851627778</v>
      </c>
      <c r="H21" s="13">
        <v>50000</v>
      </c>
      <c r="I21" s="6"/>
    </row>
    <row r="22" spans="1:11" x14ac:dyDescent="0.35">
      <c r="A22" s="4">
        <v>21</v>
      </c>
      <c r="B22" s="4" t="s">
        <v>70</v>
      </c>
      <c r="C22" s="12">
        <v>6282373654667</v>
      </c>
      <c r="D22" s="6" t="s">
        <v>11</v>
      </c>
      <c r="E22" s="7">
        <v>45934</v>
      </c>
      <c r="F22" s="7">
        <v>45934</v>
      </c>
      <c r="G22" s="8">
        <v>6287851627778</v>
      </c>
      <c r="H22" s="13">
        <v>1000000</v>
      </c>
      <c r="I22" s="6"/>
    </row>
    <row r="23" spans="1:11" x14ac:dyDescent="0.35">
      <c r="A23" s="4">
        <v>22</v>
      </c>
      <c r="B23" s="4" t="s">
        <v>71</v>
      </c>
      <c r="C23" s="12">
        <v>6283151171721</v>
      </c>
      <c r="D23" s="6" t="s">
        <v>16</v>
      </c>
      <c r="E23" s="7">
        <v>45934</v>
      </c>
      <c r="F23" s="7">
        <v>45934</v>
      </c>
      <c r="G23" s="8">
        <v>6287851627778</v>
      </c>
      <c r="H23" s="13">
        <v>100000</v>
      </c>
      <c r="I23" s="6"/>
    </row>
    <row r="24" spans="1:11" x14ac:dyDescent="0.35">
      <c r="A24" s="4">
        <v>23</v>
      </c>
      <c r="B24" s="4" t="s">
        <v>72</v>
      </c>
      <c r="C24" s="12">
        <v>6282252397685</v>
      </c>
      <c r="D24" s="6" t="s">
        <v>16</v>
      </c>
      <c r="E24" s="7">
        <v>45934</v>
      </c>
      <c r="F24" s="7">
        <v>45934</v>
      </c>
      <c r="G24" s="8">
        <v>6287851627778</v>
      </c>
      <c r="H24" s="13">
        <v>100000</v>
      </c>
      <c r="I24" s="6"/>
    </row>
    <row r="25" spans="1:11" x14ac:dyDescent="0.35">
      <c r="A25" s="4">
        <v>24</v>
      </c>
      <c r="B25" s="4" t="s">
        <v>73</v>
      </c>
      <c r="C25" s="12">
        <v>6285888444146</v>
      </c>
      <c r="D25" s="6" t="s">
        <v>9</v>
      </c>
      <c r="E25" s="7">
        <v>45926</v>
      </c>
      <c r="F25" s="7">
        <v>45935</v>
      </c>
      <c r="G25" s="8">
        <v>6287851627778</v>
      </c>
      <c r="H25" s="13">
        <v>50000</v>
      </c>
      <c r="I25" s="6"/>
    </row>
    <row r="26" spans="1:11" x14ac:dyDescent="0.35">
      <c r="A26" s="4">
        <v>25</v>
      </c>
      <c r="B26" s="4" t="s">
        <v>74</v>
      </c>
      <c r="C26" s="12">
        <v>6282279743633</v>
      </c>
      <c r="D26" s="6" t="s">
        <v>16</v>
      </c>
      <c r="E26" s="7">
        <v>45936</v>
      </c>
      <c r="F26" s="7">
        <v>45936</v>
      </c>
      <c r="G26" s="8">
        <v>6287851627778</v>
      </c>
      <c r="H26" s="13">
        <v>150000</v>
      </c>
      <c r="I26" s="6"/>
    </row>
    <row r="27" spans="1:11" x14ac:dyDescent="0.35">
      <c r="A27" s="4">
        <v>26</v>
      </c>
      <c r="B27" s="4" t="s">
        <v>75</v>
      </c>
      <c r="C27" s="12">
        <v>6281362191145</v>
      </c>
      <c r="D27" s="6" t="s">
        <v>11</v>
      </c>
      <c r="E27" s="7">
        <v>45925</v>
      </c>
      <c r="F27" s="7">
        <v>45937</v>
      </c>
      <c r="G27" s="8">
        <v>6287851627778</v>
      </c>
      <c r="H27" s="13">
        <v>25000</v>
      </c>
      <c r="I27" s="18"/>
    </row>
    <row r="28" spans="1:11" x14ac:dyDescent="0.35">
      <c r="A28" s="4">
        <v>27</v>
      </c>
      <c r="B28" s="4" t="s">
        <v>76</v>
      </c>
      <c r="C28" s="12">
        <v>6282284244290</v>
      </c>
      <c r="D28" s="6" t="s">
        <v>9</v>
      </c>
      <c r="E28" s="7">
        <v>45938</v>
      </c>
      <c r="F28" s="7">
        <v>45938</v>
      </c>
      <c r="G28" s="8">
        <v>6287851627778</v>
      </c>
      <c r="H28" s="13">
        <v>50000</v>
      </c>
      <c r="I28" s="6"/>
    </row>
    <row r="29" spans="1:11" x14ac:dyDescent="0.35">
      <c r="A29" s="4">
        <v>28</v>
      </c>
      <c r="B29" s="4" t="s">
        <v>77</v>
      </c>
      <c r="C29" s="12">
        <v>6287786306026</v>
      </c>
      <c r="D29" s="6" t="s">
        <v>14</v>
      </c>
      <c r="E29" s="7">
        <v>45939</v>
      </c>
      <c r="F29" s="7">
        <v>45939</v>
      </c>
      <c r="G29" s="8">
        <v>6287851627778</v>
      </c>
      <c r="H29" s="13">
        <v>50000</v>
      </c>
      <c r="I29" s="6"/>
    </row>
    <row r="30" spans="1:11" x14ac:dyDescent="0.35">
      <c r="A30" s="4">
        <v>29</v>
      </c>
      <c r="B30" s="16" t="s">
        <v>54</v>
      </c>
      <c r="C30" s="17">
        <v>6281284452036</v>
      </c>
      <c r="D30" s="18" t="s">
        <v>16</v>
      </c>
      <c r="E30" s="21">
        <v>45924</v>
      </c>
      <c r="F30" s="21" t="s">
        <v>78</v>
      </c>
      <c r="G30" s="22">
        <v>6287851627778</v>
      </c>
      <c r="H30" s="19">
        <v>150000</v>
      </c>
      <c r="I30" s="18"/>
      <c r="J30" s="30">
        <f>SUM(H30:H39)</f>
        <v>1270000</v>
      </c>
    </row>
    <row r="31" spans="1:11" x14ac:dyDescent="0.35">
      <c r="A31" s="4">
        <v>30</v>
      </c>
      <c r="B31" s="16" t="s">
        <v>79</v>
      </c>
      <c r="C31" s="17">
        <v>6285865528085</v>
      </c>
      <c r="D31" s="18" t="s">
        <v>14</v>
      </c>
      <c r="E31" s="21" t="s">
        <v>78</v>
      </c>
      <c r="F31" s="21" t="s">
        <v>78</v>
      </c>
      <c r="G31" s="22">
        <v>6287851627778</v>
      </c>
      <c r="H31" s="19">
        <v>200000</v>
      </c>
      <c r="I31" s="18"/>
      <c r="J31" s="30"/>
    </row>
    <row r="32" spans="1:11" x14ac:dyDescent="0.35">
      <c r="A32" s="4">
        <v>31</v>
      </c>
      <c r="B32" s="16" t="s">
        <v>80</v>
      </c>
      <c r="C32" s="17">
        <v>62895326107850</v>
      </c>
      <c r="D32" s="18" t="s">
        <v>9</v>
      </c>
      <c r="E32" s="21" t="s">
        <v>78</v>
      </c>
      <c r="F32" s="21" t="s">
        <v>78</v>
      </c>
      <c r="G32" s="22">
        <v>6287851627778</v>
      </c>
      <c r="H32" s="19">
        <v>50000</v>
      </c>
      <c r="I32" s="18"/>
      <c r="J32" s="30"/>
    </row>
    <row r="33" spans="1:12" x14ac:dyDescent="0.35">
      <c r="A33" s="4">
        <v>32</v>
      </c>
      <c r="B33" s="16" t="s">
        <v>81</v>
      </c>
      <c r="C33" s="17">
        <v>6285338528200</v>
      </c>
      <c r="D33" s="18" t="s">
        <v>11</v>
      </c>
      <c r="E33" s="7">
        <v>45912</v>
      </c>
      <c r="F33" s="21" t="s">
        <v>78</v>
      </c>
      <c r="G33" s="22">
        <v>6287851627778</v>
      </c>
      <c r="H33" s="19">
        <v>100000</v>
      </c>
      <c r="I33" s="18"/>
      <c r="J33" s="30"/>
    </row>
    <row r="34" spans="1:12" x14ac:dyDescent="0.35">
      <c r="A34" s="4">
        <v>33</v>
      </c>
      <c r="B34" s="16" t="s">
        <v>82</v>
      </c>
      <c r="C34" s="17">
        <v>6285860508754</v>
      </c>
      <c r="D34" s="18" t="s">
        <v>14</v>
      </c>
      <c r="E34" s="21" t="s">
        <v>78</v>
      </c>
      <c r="F34" s="21" t="s">
        <v>78</v>
      </c>
      <c r="G34" s="22">
        <v>6287851627778</v>
      </c>
      <c r="H34" s="19">
        <v>20000</v>
      </c>
      <c r="I34" s="18"/>
      <c r="J34" s="30"/>
    </row>
    <row r="35" spans="1:12" x14ac:dyDescent="0.35">
      <c r="A35" s="4">
        <v>34</v>
      </c>
      <c r="B35" s="16" t="s">
        <v>83</v>
      </c>
      <c r="C35" s="17">
        <v>6285899959679</v>
      </c>
      <c r="D35" s="18" t="s">
        <v>11</v>
      </c>
      <c r="E35" s="21" t="s">
        <v>78</v>
      </c>
      <c r="F35" s="21" t="s">
        <v>78</v>
      </c>
      <c r="G35" s="22">
        <v>6287851627778</v>
      </c>
      <c r="H35" s="19">
        <v>50000</v>
      </c>
      <c r="I35" s="18"/>
      <c r="J35" s="30"/>
    </row>
    <row r="36" spans="1:12" x14ac:dyDescent="0.35">
      <c r="A36" s="4">
        <v>35</v>
      </c>
      <c r="B36" s="16" t="s">
        <v>84</v>
      </c>
      <c r="C36" s="17">
        <v>6289652659222</v>
      </c>
      <c r="D36" s="18" t="s">
        <v>16</v>
      </c>
      <c r="E36" s="21" t="s">
        <v>78</v>
      </c>
      <c r="F36" s="21" t="s">
        <v>78</v>
      </c>
      <c r="G36" s="22">
        <v>6287851627778</v>
      </c>
      <c r="H36" s="19">
        <v>100000</v>
      </c>
      <c r="I36" s="18"/>
      <c r="J36" s="30"/>
    </row>
    <row r="37" spans="1:12" x14ac:dyDescent="0.35">
      <c r="A37" s="4">
        <v>36</v>
      </c>
      <c r="B37" s="16" t="s">
        <v>85</v>
      </c>
      <c r="C37" s="33">
        <v>6285726947335</v>
      </c>
      <c r="D37" s="18" t="s">
        <v>11</v>
      </c>
      <c r="E37" s="21" t="s">
        <v>78</v>
      </c>
      <c r="F37" s="21" t="s">
        <v>78</v>
      </c>
      <c r="G37" s="22">
        <v>6287851627778</v>
      </c>
      <c r="H37" s="19">
        <v>200000</v>
      </c>
      <c r="I37" s="18"/>
      <c r="J37" s="30"/>
    </row>
    <row r="38" spans="1:12" ht="15.5" x14ac:dyDescent="0.35">
      <c r="A38" s="4">
        <v>37</v>
      </c>
      <c r="B38" s="16" t="s">
        <v>86</v>
      </c>
      <c r="C38" s="23">
        <v>6285853051501</v>
      </c>
      <c r="D38" s="18" t="s">
        <v>9</v>
      </c>
      <c r="E38" s="21" t="s">
        <v>78</v>
      </c>
      <c r="F38" s="21" t="s">
        <v>78</v>
      </c>
      <c r="G38" s="22">
        <v>6287851627778</v>
      </c>
      <c r="H38" s="19">
        <v>200000</v>
      </c>
      <c r="I38" s="18"/>
      <c r="J38" s="30"/>
    </row>
    <row r="39" spans="1:12" x14ac:dyDescent="0.35">
      <c r="A39" s="4">
        <v>38</v>
      </c>
      <c r="B39" s="16" t="s">
        <v>87</v>
      </c>
      <c r="C39" s="17">
        <v>6285695862042</v>
      </c>
      <c r="D39" s="18" t="s">
        <v>14</v>
      </c>
      <c r="E39" s="21" t="s">
        <v>78</v>
      </c>
      <c r="F39" s="21" t="s">
        <v>78</v>
      </c>
      <c r="G39" s="22">
        <v>6287851627778</v>
      </c>
      <c r="H39" s="19">
        <v>200000</v>
      </c>
      <c r="I39" s="18"/>
      <c r="J39" s="24"/>
    </row>
    <row r="40" spans="1:12" x14ac:dyDescent="0.35">
      <c r="A40" s="4">
        <v>39</v>
      </c>
      <c r="B40" s="16" t="s">
        <v>88</v>
      </c>
      <c r="C40" s="17">
        <v>6285655773648</v>
      </c>
      <c r="D40" s="18" t="s">
        <v>11</v>
      </c>
      <c r="E40" s="21" t="s">
        <v>89</v>
      </c>
      <c r="F40" s="21" t="s">
        <v>89</v>
      </c>
      <c r="G40" s="22">
        <v>6287851627778</v>
      </c>
      <c r="H40" s="19">
        <v>100000</v>
      </c>
      <c r="I40" s="18"/>
      <c r="J40" s="24">
        <f>SUM(H40:H44)</f>
        <v>650000</v>
      </c>
    </row>
    <row r="41" spans="1:12" x14ac:dyDescent="0.35">
      <c r="A41" s="4">
        <v>40</v>
      </c>
      <c r="B41" s="16" t="s">
        <v>90</v>
      </c>
      <c r="C41" s="17">
        <v>6282223866664</v>
      </c>
      <c r="D41" s="18" t="s">
        <v>16</v>
      </c>
      <c r="E41" s="21" t="s">
        <v>89</v>
      </c>
      <c r="F41" s="21" t="s">
        <v>89</v>
      </c>
      <c r="G41" s="22">
        <v>6287851627778</v>
      </c>
      <c r="H41" s="19">
        <v>100000</v>
      </c>
      <c r="I41" s="18"/>
    </row>
    <row r="42" spans="1:12" ht="15.5" x14ac:dyDescent="0.35">
      <c r="A42" s="4">
        <v>41</v>
      </c>
      <c r="B42" s="16" t="s">
        <v>91</v>
      </c>
      <c r="C42" s="25">
        <v>6281229891953</v>
      </c>
      <c r="D42" s="18" t="s">
        <v>14</v>
      </c>
      <c r="E42" s="21" t="s">
        <v>89</v>
      </c>
      <c r="F42" s="21" t="s">
        <v>89</v>
      </c>
      <c r="G42" s="22">
        <v>6287851627778</v>
      </c>
      <c r="H42" s="19">
        <v>300000</v>
      </c>
      <c r="I42" s="18"/>
      <c r="L42" s="24"/>
    </row>
    <row r="43" spans="1:12" x14ac:dyDescent="0.35">
      <c r="A43" s="4">
        <v>42</v>
      </c>
      <c r="B43" s="16" t="s">
        <v>92</v>
      </c>
      <c r="C43" s="17">
        <v>6281210069591</v>
      </c>
      <c r="D43" s="18" t="s">
        <v>9</v>
      </c>
      <c r="E43" s="21" t="s">
        <v>89</v>
      </c>
      <c r="F43" s="21" t="s">
        <v>89</v>
      </c>
      <c r="G43" s="22">
        <v>6287851627778</v>
      </c>
      <c r="H43" s="19">
        <v>50000</v>
      </c>
      <c r="I43" s="18"/>
    </row>
    <row r="44" spans="1:12" x14ac:dyDescent="0.35">
      <c r="A44" s="4">
        <v>43</v>
      </c>
      <c r="B44" s="4" t="s">
        <v>58</v>
      </c>
      <c r="C44" s="12">
        <v>628117672974</v>
      </c>
      <c r="D44" s="6" t="s">
        <v>9</v>
      </c>
      <c r="E44" s="21" t="s">
        <v>93</v>
      </c>
      <c r="F44" s="21" t="s">
        <v>89</v>
      </c>
      <c r="G44" s="22">
        <v>6287851627778</v>
      </c>
      <c r="H44" s="19">
        <v>100000</v>
      </c>
      <c r="I44" s="18"/>
    </row>
    <row r="45" spans="1:12" x14ac:dyDescent="0.35">
      <c r="A45" s="4">
        <v>44</v>
      </c>
      <c r="B45" s="4" t="s">
        <v>58</v>
      </c>
      <c r="C45" s="12">
        <v>628117672974</v>
      </c>
      <c r="D45" s="6" t="s">
        <v>9</v>
      </c>
      <c r="E45" s="21" t="s">
        <v>93</v>
      </c>
      <c r="F45" s="21" t="s">
        <v>89</v>
      </c>
      <c r="G45" s="22">
        <v>6287851627778</v>
      </c>
      <c r="H45" s="19">
        <v>50000</v>
      </c>
      <c r="I45" s="18"/>
    </row>
    <row r="46" spans="1:12" x14ac:dyDescent="0.35">
      <c r="A46" s="4"/>
      <c r="B46" s="16"/>
      <c r="C46" s="17"/>
      <c r="D46" s="18"/>
      <c r="E46" s="21"/>
      <c r="F46" s="21"/>
      <c r="G46" s="22"/>
      <c r="H46" s="19"/>
      <c r="I46" s="18"/>
    </row>
    <row r="47" spans="1:12" x14ac:dyDescent="0.35">
      <c r="A47" s="4"/>
      <c r="B47" s="16"/>
      <c r="C47" s="17"/>
      <c r="D47" s="18"/>
      <c r="E47" s="21"/>
      <c r="F47" s="21"/>
      <c r="G47" s="22"/>
      <c r="H47" s="19"/>
      <c r="I47" s="18"/>
    </row>
    <row r="48" spans="1:12" x14ac:dyDescent="0.35">
      <c r="A48" s="4"/>
      <c r="B48" s="16"/>
      <c r="C48" s="17"/>
      <c r="D48" s="18"/>
      <c r="E48" s="21"/>
      <c r="F48" s="21"/>
      <c r="G48" s="22"/>
      <c r="H48" s="19"/>
      <c r="I48" s="18"/>
    </row>
    <row r="49" spans="1:10" ht="15.5" x14ac:dyDescent="0.35">
      <c r="A49" s="4"/>
      <c r="B49" s="16"/>
      <c r="C49" s="26"/>
      <c r="D49" s="18"/>
      <c r="E49" s="21"/>
      <c r="F49" s="21"/>
      <c r="G49" s="22"/>
      <c r="H49" s="19"/>
      <c r="I49" s="18"/>
    </row>
    <row r="50" spans="1:10" x14ac:dyDescent="0.35">
      <c r="A50" s="16"/>
      <c r="B50" s="16"/>
      <c r="C50" s="17"/>
      <c r="D50" s="18"/>
      <c r="E50" s="21"/>
      <c r="F50" s="21"/>
      <c r="G50" s="22"/>
      <c r="H50" s="19"/>
      <c r="I50" s="18"/>
    </row>
    <row r="51" spans="1:10" x14ac:dyDescent="0.35">
      <c r="A51" s="16"/>
      <c r="B51" s="4"/>
      <c r="C51" s="12"/>
      <c r="D51" s="6"/>
      <c r="E51" s="7"/>
      <c r="F51" s="7"/>
      <c r="G51" s="8"/>
      <c r="H51" s="13"/>
      <c r="I51" s="18"/>
    </row>
    <row r="52" spans="1:10" x14ac:dyDescent="0.35">
      <c r="A52" s="16"/>
      <c r="B52" s="4"/>
      <c r="C52" s="12"/>
      <c r="D52" s="6"/>
      <c r="E52" s="7"/>
      <c r="F52" s="7"/>
      <c r="G52" s="8"/>
      <c r="H52" s="13"/>
      <c r="I52" s="18"/>
    </row>
    <row r="53" spans="1:10" x14ac:dyDescent="0.35">
      <c r="A53" s="16"/>
      <c r="B53" s="4"/>
      <c r="C53" s="12"/>
      <c r="D53" s="6"/>
      <c r="E53" s="7"/>
      <c r="F53" s="7"/>
      <c r="G53" s="8"/>
      <c r="H53" s="13"/>
      <c r="I53" s="18"/>
    </row>
    <row r="54" spans="1:10" x14ac:dyDescent="0.35">
      <c r="A54" s="16"/>
      <c r="B54" s="16"/>
      <c r="C54" s="17"/>
      <c r="D54" s="18"/>
      <c r="E54" s="21"/>
      <c r="F54" s="21"/>
      <c r="G54" s="22"/>
      <c r="H54" s="19"/>
      <c r="I54" s="18"/>
    </row>
    <row r="59" spans="1:10" x14ac:dyDescent="0.35">
      <c r="J59" s="28"/>
    </row>
    <row r="60" spans="1:10" x14ac:dyDescent="0.35">
      <c r="J60" s="24"/>
    </row>
  </sheetData>
  <mergeCells count="1">
    <mergeCell ref="R3:S3"/>
  </mergeCells>
  <conditionalFormatting sqref="C7:C9">
    <cfRule type="duplicateValues" dxfId="9" priority="10"/>
  </conditionalFormatting>
  <conditionalFormatting sqref="C12">
    <cfRule type="duplicateValues" dxfId="8" priority="11"/>
    <cfRule type="duplicateValues" dxfId="7" priority="12"/>
  </conditionalFormatting>
  <conditionalFormatting sqref="C38">
    <cfRule type="duplicateValues" dxfId="6" priority="4"/>
    <cfRule type="duplicateValues" dxfId="5" priority="5"/>
    <cfRule type="duplicateValues" dxfId="4" priority="6"/>
  </conditionalFormatting>
  <conditionalFormatting sqref="C39:C41 C7:C9 C13:C36 C55:C1048576 C1:C5 C50 C43:C48">
    <cfRule type="duplicateValues" dxfId="3" priority="13"/>
  </conditionalFormatting>
  <conditionalFormatting sqref="C42">
    <cfRule type="duplicateValues" dxfId="2" priority="1"/>
    <cfRule type="duplicateValues" dxfId="1" priority="2"/>
    <cfRule type="duplicateValues" dxfId="0" priority="3"/>
  </conditionalFormatting>
  <dataValidations count="2">
    <dataValidation type="list" allowBlank="1" showInputMessage="1" showErrorMessage="1" sqref="D2:D50" xr:uid="{3141344C-82F6-44EF-9B48-C441B1DFBD39}">
      <formula1>$J$5:$J$12</formula1>
    </dataValidation>
    <dataValidation type="list" allowBlank="1" showInputMessage="1" showErrorMessage="1" sqref="G2:G50" xr:uid="{27AE70A6-279F-4608-8506-B50B78A999F9}">
      <formula1>$J$15:$J$16</formula1>
    </dataValidation>
  </dataValidations>
  <pageMargins left="0.7" right="0.7" top="0.75" bottom="0.75" header="0.3" footer="0.3"/>
  <pageSetup orientation="portrait" horizont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FE93E-D7DB-4D74-8B00-05D8D1D67381}">
  <dimension ref="A1:H5"/>
  <sheetViews>
    <sheetView workbookViewId="0">
      <selection activeCell="D8" sqref="D8"/>
    </sheetView>
  </sheetViews>
  <sheetFormatPr defaultRowHeight="14.5" x14ac:dyDescent="0.35"/>
  <cols>
    <col min="1" max="1" width="8.81640625" bestFit="1" customWidth="1"/>
    <col min="2" max="2" width="20.90625" bestFit="1" customWidth="1"/>
    <col min="3" max="3" width="11.81640625" bestFit="1" customWidth="1"/>
    <col min="4" max="4" width="25.36328125" bestFit="1" customWidth="1"/>
    <col min="5" max="5" width="11.6328125" bestFit="1" customWidth="1"/>
    <col min="6" max="6" width="10.453125" bestFit="1" customWidth="1"/>
    <col min="7" max="7" width="11.81640625" bestFit="1" customWidth="1"/>
    <col min="8" max="8" width="8.81640625" bestFit="1" customWidth="1"/>
  </cols>
  <sheetData>
    <row r="1" spans="1:8" x14ac:dyDescent="0.35">
      <c r="A1" s="32" t="s">
        <v>63</v>
      </c>
    </row>
    <row r="3" spans="1:8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8" x14ac:dyDescent="0.35">
      <c r="A4">
        <v>13</v>
      </c>
      <c r="B4" t="s">
        <v>62</v>
      </c>
      <c r="C4">
        <v>6282123149118</v>
      </c>
      <c r="D4" t="s">
        <v>14</v>
      </c>
      <c r="E4" s="2">
        <v>45918</v>
      </c>
      <c r="F4" s="2">
        <v>45930</v>
      </c>
      <c r="G4">
        <v>6287851627778</v>
      </c>
      <c r="H4">
        <v>100000</v>
      </c>
    </row>
    <row r="5" spans="1:8" x14ac:dyDescent="0.35">
      <c r="A5">
        <v>10</v>
      </c>
      <c r="B5" t="s">
        <v>59</v>
      </c>
      <c r="C5">
        <v>628129955091</v>
      </c>
      <c r="D5" t="s">
        <v>15</v>
      </c>
      <c r="E5" s="2">
        <v>45918</v>
      </c>
      <c r="F5" s="2">
        <v>45929</v>
      </c>
      <c r="G5">
        <v>6287851627778</v>
      </c>
      <c r="H5">
        <v>50633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3FB23-76FB-461C-8FB1-9766B6B175EB}">
  <dimension ref="A3:G26"/>
  <sheetViews>
    <sheetView topLeftCell="A16" workbookViewId="0">
      <selection activeCell="F33" sqref="F33"/>
    </sheetView>
  </sheetViews>
  <sheetFormatPr defaultRowHeight="14.5" x14ac:dyDescent="0.35"/>
  <cols>
    <col min="1" max="1" width="12.36328125" bestFit="1" customWidth="1"/>
    <col min="2" max="2" width="15.26953125" bestFit="1" customWidth="1"/>
    <col min="3" max="3" width="10.90625" bestFit="1" customWidth="1"/>
    <col min="4" max="4" width="11.36328125" bestFit="1" customWidth="1"/>
    <col min="5" max="5" width="10.90625" bestFit="1" customWidth="1"/>
    <col min="6" max="6" width="16.1796875" bestFit="1" customWidth="1"/>
    <col min="7" max="7" width="15.7265625" bestFit="1" customWidth="1"/>
  </cols>
  <sheetData>
    <row r="3" spans="1:7" x14ac:dyDescent="0.35">
      <c r="B3" s="31" t="s">
        <v>25</v>
      </c>
    </row>
    <row r="4" spans="1:7" x14ac:dyDescent="0.35">
      <c r="B4" s="1">
        <v>6287851627778</v>
      </c>
      <c r="C4" s="1"/>
      <c r="D4" t="s">
        <v>26</v>
      </c>
      <c r="F4" t="s">
        <v>27</v>
      </c>
      <c r="G4" t="s">
        <v>28</v>
      </c>
    </row>
    <row r="5" spans="1:7" x14ac:dyDescent="0.35">
      <c r="A5" s="31" t="s">
        <v>29</v>
      </c>
      <c r="B5" t="s">
        <v>30</v>
      </c>
      <c r="C5" t="s">
        <v>31</v>
      </c>
      <c r="D5" t="s">
        <v>30</v>
      </c>
      <c r="E5" t="s">
        <v>31</v>
      </c>
    </row>
    <row r="6" spans="1:7" x14ac:dyDescent="0.35">
      <c r="A6" s="29">
        <v>45911</v>
      </c>
      <c r="B6" s="30">
        <v>70000</v>
      </c>
      <c r="C6">
        <v>2</v>
      </c>
      <c r="F6" s="30">
        <v>70000</v>
      </c>
      <c r="G6">
        <v>2</v>
      </c>
    </row>
    <row r="7" spans="1:7" x14ac:dyDescent="0.35">
      <c r="A7" s="29">
        <v>45924</v>
      </c>
      <c r="B7" s="30">
        <v>250000</v>
      </c>
      <c r="C7">
        <v>2</v>
      </c>
      <c r="F7" s="30">
        <v>250000</v>
      </c>
      <c r="G7">
        <v>2</v>
      </c>
    </row>
    <row r="8" spans="1:7" x14ac:dyDescent="0.35">
      <c r="A8" s="29">
        <v>45926</v>
      </c>
      <c r="B8" s="30">
        <v>700000</v>
      </c>
      <c r="C8">
        <v>8</v>
      </c>
      <c r="F8" s="30">
        <v>700000</v>
      </c>
      <c r="G8">
        <v>8</v>
      </c>
    </row>
    <row r="9" spans="1:7" x14ac:dyDescent="0.35">
      <c r="A9" s="11" t="s">
        <v>26</v>
      </c>
    </row>
    <row r="10" spans="1:7" x14ac:dyDescent="0.35">
      <c r="A10" s="29">
        <v>45905</v>
      </c>
      <c r="B10" s="30">
        <v>100000</v>
      </c>
      <c r="C10">
        <v>1</v>
      </c>
      <c r="F10" s="30">
        <v>100000</v>
      </c>
      <c r="G10">
        <v>1</v>
      </c>
    </row>
    <row r="11" spans="1:7" x14ac:dyDescent="0.35">
      <c r="A11" s="29">
        <v>45918</v>
      </c>
      <c r="B11" s="30">
        <v>150633</v>
      </c>
      <c r="C11">
        <v>2</v>
      </c>
      <c r="F11" s="30">
        <v>150633</v>
      </c>
      <c r="G11">
        <v>2</v>
      </c>
    </row>
    <row r="12" spans="1:7" x14ac:dyDescent="0.35">
      <c r="A12" s="29">
        <v>45919</v>
      </c>
      <c r="B12" s="30">
        <v>100000</v>
      </c>
      <c r="C12">
        <v>1</v>
      </c>
      <c r="F12" s="30">
        <v>100000</v>
      </c>
      <c r="G12">
        <v>1</v>
      </c>
    </row>
    <row r="13" spans="1:7" x14ac:dyDescent="0.35">
      <c r="A13" s="29">
        <v>45930</v>
      </c>
      <c r="B13" s="30">
        <v>100000</v>
      </c>
      <c r="C13">
        <v>1</v>
      </c>
      <c r="F13" s="30">
        <v>100000</v>
      </c>
      <c r="G13">
        <v>1</v>
      </c>
    </row>
    <row r="14" spans="1:7" x14ac:dyDescent="0.35">
      <c r="A14" s="29">
        <v>45933</v>
      </c>
      <c r="B14" s="30">
        <v>250000</v>
      </c>
      <c r="C14">
        <v>3</v>
      </c>
      <c r="F14" s="30">
        <v>250000</v>
      </c>
      <c r="G14">
        <v>3</v>
      </c>
    </row>
    <row r="15" spans="1:7" x14ac:dyDescent="0.35">
      <c r="A15" s="29">
        <v>45932</v>
      </c>
      <c r="B15" s="30">
        <v>100000</v>
      </c>
      <c r="C15">
        <v>1</v>
      </c>
      <c r="F15" s="30">
        <v>100000</v>
      </c>
      <c r="G15">
        <v>1</v>
      </c>
    </row>
    <row r="16" spans="1:7" x14ac:dyDescent="0.35">
      <c r="A16" s="29">
        <v>45917</v>
      </c>
      <c r="B16" s="30">
        <v>50000</v>
      </c>
      <c r="C16">
        <v>1</v>
      </c>
      <c r="F16" s="30">
        <v>50000</v>
      </c>
      <c r="G16">
        <v>1</v>
      </c>
    </row>
    <row r="17" spans="1:7" x14ac:dyDescent="0.35">
      <c r="A17" s="29">
        <v>45934</v>
      </c>
      <c r="B17" s="30">
        <v>1200000</v>
      </c>
      <c r="C17">
        <v>3</v>
      </c>
      <c r="F17" s="30">
        <v>1200000</v>
      </c>
      <c r="G17">
        <v>3</v>
      </c>
    </row>
    <row r="18" spans="1:7" x14ac:dyDescent="0.35">
      <c r="A18" s="29">
        <v>45936</v>
      </c>
      <c r="B18" s="30">
        <v>150000</v>
      </c>
      <c r="C18">
        <v>1</v>
      </c>
      <c r="F18" s="30">
        <v>150000</v>
      </c>
      <c r="G18">
        <v>1</v>
      </c>
    </row>
    <row r="19" spans="1:7" x14ac:dyDescent="0.35">
      <c r="A19" s="29">
        <v>45925</v>
      </c>
      <c r="B19" s="30">
        <v>25000</v>
      </c>
      <c r="C19">
        <v>1</v>
      </c>
      <c r="F19" s="30">
        <v>25000</v>
      </c>
      <c r="G19">
        <v>1</v>
      </c>
    </row>
    <row r="20" spans="1:7" x14ac:dyDescent="0.35">
      <c r="A20" s="29">
        <v>45938</v>
      </c>
      <c r="B20" s="30">
        <v>50000</v>
      </c>
      <c r="C20">
        <v>1</v>
      </c>
      <c r="F20" s="30">
        <v>50000</v>
      </c>
      <c r="G20">
        <v>1</v>
      </c>
    </row>
    <row r="21" spans="1:7" x14ac:dyDescent="0.35">
      <c r="A21" s="29">
        <v>45939</v>
      </c>
      <c r="B21" s="30">
        <v>50000</v>
      </c>
      <c r="C21">
        <v>1</v>
      </c>
      <c r="F21" s="30">
        <v>50000</v>
      </c>
      <c r="G21">
        <v>1</v>
      </c>
    </row>
    <row r="22" spans="1:7" x14ac:dyDescent="0.35">
      <c r="A22" s="11" t="s">
        <v>78</v>
      </c>
      <c r="B22" s="30">
        <v>1020000</v>
      </c>
      <c r="C22">
        <v>8</v>
      </c>
      <c r="F22" s="30">
        <v>1020000</v>
      </c>
      <c r="G22">
        <v>8</v>
      </c>
    </row>
    <row r="23" spans="1:7" x14ac:dyDescent="0.35">
      <c r="A23" s="29">
        <v>45912</v>
      </c>
      <c r="B23" s="30">
        <v>100000</v>
      </c>
      <c r="C23">
        <v>1</v>
      </c>
      <c r="F23" s="30">
        <v>100000</v>
      </c>
      <c r="G23">
        <v>1</v>
      </c>
    </row>
    <row r="24" spans="1:7" x14ac:dyDescent="0.35">
      <c r="A24" s="11" t="s">
        <v>89</v>
      </c>
      <c r="B24" s="30">
        <v>550000</v>
      </c>
      <c r="C24">
        <v>4</v>
      </c>
      <c r="F24" s="30">
        <v>550000</v>
      </c>
      <c r="G24">
        <v>4</v>
      </c>
    </row>
    <row r="25" spans="1:7" x14ac:dyDescent="0.35">
      <c r="A25" s="11" t="s">
        <v>93</v>
      </c>
      <c r="B25" s="30">
        <v>100000</v>
      </c>
      <c r="F25" s="30">
        <v>100000</v>
      </c>
    </row>
    <row r="26" spans="1:7" x14ac:dyDescent="0.35">
      <c r="A26" s="11" t="s">
        <v>50</v>
      </c>
      <c r="B26" s="30">
        <v>5115633</v>
      </c>
      <c r="C26">
        <v>42</v>
      </c>
      <c r="F26" s="30">
        <v>5115633</v>
      </c>
      <c r="G26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TOTAL_TANGGAL</vt:lpstr>
      <vt:lpstr>Rekap_himpunan</vt:lpstr>
      <vt:lpstr>Detail1</vt:lpstr>
      <vt:lpstr>TOTAL_PERTANGGAL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indonesia</dc:creator>
  <cp:lastModifiedBy>asus indonesia</cp:lastModifiedBy>
  <dcterms:created xsi:type="dcterms:W3CDTF">2025-09-26T02:44:56Z</dcterms:created>
  <dcterms:modified xsi:type="dcterms:W3CDTF">2025-10-14T07:24:01Z</dcterms:modified>
</cp:coreProperties>
</file>