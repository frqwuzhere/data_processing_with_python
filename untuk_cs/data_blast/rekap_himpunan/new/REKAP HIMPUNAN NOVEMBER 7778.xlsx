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new\"/>
    </mc:Choice>
  </mc:AlternateContent>
  <xr:revisionPtr revIDLastSave="0" documentId="13_ncr:1_{08A04196-6935-4BB1-B82C-B2EDBC903F9F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himpunan" sheetId="1" r:id="rId1"/>
    <sheet name="TOTAL REKAP HIMPUNAN NOV" sheetId="3" r:id="rId2"/>
  </sheets>
  <definedNames>
    <definedName name="_xlnm._FilterDatabase" localSheetId="0" hidden="1">#REF!</definedName>
  </definedNames>
  <calcPr calcId="181029"/>
  <pivotCaches>
    <pivotCache cacheId="1" r:id="rId3"/>
  </pivotCaches>
</workbook>
</file>

<file path=xl/calcChain.xml><?xml version="1.0" encoding="utf-8"?>
<calcChain xmlns="http://schemas.openxmlformats.org/spreadsheetml/2006/main">
  <c r="J37" i="1" l="1"/>
  <c r="J2" i="1"/>
</calcChain>
</file>

<file path=xl/sharedStrings.xml><?xml version="1.0" encoding="utf-8"?>
<sst xmlns="http://schemas.openxmlformats.org/spreadsheetml/2006/main" count="219" uniqueCount="85">
  <si>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</si>
  <si>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</si>
  <si>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</si>
  <si>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</si>
  <si>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</si>
  <si>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</si>
  <si>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</si>
  <si>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</si>
  <si>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Column1</t>
  </si>
  <si>
    <t>Hamba Allah</t>
  </si>
  <si>
    <t xml:space="preserve">Mandiri (CS) 1410029052222 </t>
  </si>
  <si>
    <t>10/27/2025</t>
  </si>
  <si>
    <t>Afif Sogi Fahruddin</t>
  </si>
  <si>
    <t>BRI (CS) 115901000648567</t>
  </si>
  <si>
    <t>Gafar Ahmad</t>
  </si>
  <si>
    <t>BSI (CS) 7316126698</t>
  </si>
  <si>
    <t>10/23/2025</t>
  </si>
  <si>
    <t>Erna Indayani</t>
  </si>
  <si>
    <t>10/29/2025</t>
  </si>
  <si>
    <t>Mandiri (Ads) 1410000665448</t>
  </si>
  <si>
    <t xml:space="preserve">MANDIRI </t>
  </si>
  <si>
    <t>Dody Irawan</t>
  </si>
  <si>
    <t>10/24/2025</t>
  </si>
  <si>
    <t>10/30/2025</t>
  </si>
  <si>
    <t>Asep Wantjana Amiarta</t>
  </si>
  <si>
    <t>BNI (Ads) 3003003257</t>
  </si>
  <si>
    <t>Titi Mursiti</t>
  </si>
  <si>
    <t>10/31/2025</t>
  </si>
  <si>
    <t>BNI (CS) 5005003227</t>
  </si>
  <si>
    <t>Muhammad Arief</t>
  </si>
  <si>
    <t xml:space="preserve">BSI (Ads) 7772526274 </t>
  </si>
  <si>
    <t xml:space="preserve">BNI </t>
  </si>
  <si>
    <t>Sri Peny Hartati</t>
  </si>
  <si>
    <t>BNI (Ads(3003003257</t>
  </si>
  <si>
    <t>Hamidah Zulkifli</t>
  </si>
  <si>
    <t>BRI (Ads) 115901000647561</t>
  </si>
  <si>
    <t xml:space="preserve">Darni Faisal </t>
  </si>
  <si>
    <t>Hj Mimin Sari</t>
  </si>
  <si>
    <t>10/17/2025</t>
  </si>
  <si>
    <t>BSI</t>
  </si>
  <si>
    <t>BRI</t>
  </si>
  <si>
    <t>Column Labels</t>
  </si>
  <si>
    <t>(blank)</t>
  </si>
  <si>
    <t>Total Sum of Total</t>
  </si>
  <si>
    <t>Total Count of No</t>
  </si>
  <si>
    <t>Row Labels</t>
  </si>
  <si>
    <t>Sum of Total</t>
  </si>
  <si>
    <t>Count of No</t>
  </si>
  <si>
    <t>Grand Total</t>
  </si>
  <si>
    <t>Nuraeni</t>
  </si>
  <si>
    <t>Sarqiyah</t>
  </si>
  <si>
    <t>Ilham Pratomo</t>
  </si>
  <si>
    <t>Kurniasih</t>
  </si>
  <si>
    <t>Filhafi Faojah</t>
  </si>
  <si>
    <t>Asdar</t>
  </si>
  <si>
    <t xml:space="preserve">Sulami </t>
  </si>
  <si>
    <t>10/28/2025</t>
  </si>
  <si>
    <t>Ahmad Tarmudin</t>
  </si>
  <si>
    <t>Titiek Chairuniza</t>
  </si>
  <si>
    <t>Yusmayani</t>
  </si>
  <si>
    <t>Iqbal Firdaus</t>
  </si>
  <si>
    <t>Mardalina</t>
  </si>
  <si>
    <t>Dona Himawan</t>
  </si>
  <si>
    <t>Ahmad Rofiq</t>
  </si>
  <si>
    <t>Rachmad Hermansyah</t>
  </si>
  <si>
    <t>11/13/2025</t>
  </si>
  <si>
    <t>Nurbaiti</t>
  </si>
  <si>
    <t>11/14/2025</t>
  </si>
  <si>
    <t>Ilham Nur</t>
  </si>
  <si>
    <t>Ferri Nuzarli</t>
  </si>
  <si>
    <t>Krysia Wiji Hastuti</t>
  </si>
  <si>
    <t>Usman</t>
  </si>
  <si>
    <t>Widodo Arif Wicaksono</t>
  </si>
  <si>
    <t>11/16/2025</t>
  </si>
  <si>
    <t>Elly Nofianti</t>
  </si>
  <si>
    <t>11//21/2025</t>
  </si>
  <si>
    <t>Muhammad Nurdin</t>
  </si>
  <si>
    <t>Lailatul Badriyah</t>
  </si>
  <si>
    <t>11/23/2025</t>
  </si>
  <si>
    <t>Tri Yanti</t>
  </si>
  <si>
    <t>11/24/2025</t>
  </si>
  <si>
    <t>11/25/2025</t>
  </si>
  <si>
    <t>Nena Trisnawati</t>
  </si>
  <si>
    <t>11/17/2025</t>
  </si>
  <si>
    <t>11/21/2025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</si>
</sst>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&quot;Rp&quot;#,##0"/>
    <numFmt numFmtId="165" formatCode="[$-F800]dddd\,\ mmmm\ dd\,\ yyyy"/>
  </numFmts>
  <fonts count="5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42" fontId="0" fillId="0" borderId="0" xfId="1" applyFont="1"/>
    <xf numFmtId="42" fontId="0" fillId="0" borderId="0" xfId="1" applyFont="1" applyFill="1"/>
    <xf numFmtId="0" fontId="0" fillId="0" borderId="1" xfId="0" applyBorder="1"/>
    <xf numFmtId="0" fontId="0" fillId="0" borderId="2" xfId="0" applyBorder="1"/>
    <xf numFmtId="1" fontId="0" fillId="0" borderId="2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2" fontId="0" fillId="0" borderId="2" xfId="1" applyFont="1" applyFill="1" applyBorder="1"/>
    <xf numFmtId="1" fontId="0" fillId="0" borderId="1" xfId="0" applyNumberFormat="1" applyBorder="1" applyAlignment="1">
      <alignment horizontal="left"/>
    </xf>
    <xf numFmtId="42" fontId="0" fillId="0" borderId="1" xfId="1" applyFont="1" applyFill="1" applyBorder="1"/>
    <xf numFmtId="0" fontId="0" fillId="0" borderId="3" xfId="0" applyBorder="1"/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center"/>
    </xf>
    <xf numFmtId="42" fontId="0" fillId="0" borderId="3" xfId="1" applyFont="1" applyFill="1" applyBorder="1"/>
    <xf numFmtId="14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1" fillId="0" borderId="3" xfId="0" applyNumberFormat="1" applyFont="1" applyBorder="1" applyAlignment="1">
      <alignment horizontal="left"/>
    </xf>
    <xf numFmtId="0" fontId="0" fillId="0" borderId="2" xfId="0" applyBorder="1" applyAlignment="1">
      <alignment horizontal="center"/>
    </xf>
    <xf numFmtId="42" fontId="0" fillId="0" borderId="0" xfId="0" applyNumberFormat="1"/>
    <xf numFmtId="42" fontId="0" fillId="0" borderId="1" xfId="0" applyNumberFormat="1" applyBorder="1" applyAlignment="1">
      <alignment horizontal="center"/>
    </xf>
    <xf numFmtId="42" fontId="0" fillId="0" borderId="0" xfId="0" applyNumberFormat="1" applyAlignment="1">
      <alignment horizontal="left"/>
    </xf>
    <xf numFmtId="1" fontId="0" fillId="0" borderId="0" xfId="0" applyNumberFormat="1" applyAlignment="1">
      <alignment horizontal="center" vertical="center"/>
    </xf>
    <xf numFmtId="42" fontId="0" fillId="0" borderId="0" xfId="1" applyFont="1" applyFill="1" applyBorder="1"/>
    <xf numFmtId="0" fontId="3" fillId="0" borderId="1" xfId="0" applyFont="1" applyBorder="1" applyAlignment="1">
      <alignment horizont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0" fillId="0" borderId="3" xfId="0" applyNumberFormat="1" applyBorder="1" applyAlignment="1">
      <alignment horizontal="center"/>
    </xf>
  </cellXfs>
  <cellStyles count="2">
    <cellStyle name="Currency [0]" xfId="1" builtinId="7"/>
    <cellStyle name="Normal" xfId="0" builtinId="0"/>
  </cellStyles>
  <dxfs count="25">
    <dxf>
      <numFmt numFmtId="165" formatCode="[$-F800]dddd\,\ mmmm\ dd\,\ yyyy"/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64" formatCode="&quot;Rp&quot;#,##0"/>
    </dxf>
    <dxf>
      <numFmt numFmtId="164" formatCode="&quot;Rp&quot;#,##0"/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86.555853356484" createdVersion="8" refreshedVersion="8" minRefreshableVersion="3" recordCount="53" xr:uid="{00000000-000A-0000-FFFF-FFFF00000000}">
  <cacheSource type="worksheet">
    <worksheetSource name="Table2"/>
  </cacheSource>
  <cacheFields count="9">
    <cacheField name="No" numFmtId="0">
      <sharedItems containsString="0" containsBlank="1" containsNumber="1" containsInteger="1" minValue="1" maxValue="50"/>
    </cacheField>
    <cacheField name="Donatur" numFmtId="0">
      <sharedItems containsBlank="1"/>
    </cacheField>
    <cacheField name="Whatsapp" numFmtId="1">
      <sharedItems containsString="0" containsBlank="1" containsNumber="1" containsInteger="1" minValue="62817180836" maxValue="6289502012519"/>
    </cacheField>
    <cacheField name="Payment Account" numFmtId="0">
      <sharedItems containsBlank="1"/>
    </cacheField>
    <cacheField name="Date Blast" numFmtId="14">
      <sharedItems containsDate="1" containsBlank="1" containsMixedTypes="1" minDate="2025-02-11T00:00:00" maxDate="2025-09-12T00:00:00" count="18">
        <s v="10/27/2025"/>
        <s v="10/23/2025"/>
        <s v="10/29/2025"/>
        <s v="10/24/2025"/>
        <s v="10/30/2025"/>
        <s v="10/31/2025"/>
        <s v="10/17/2025"/>
        <d v="2025-02-11T00:00:00"/>
        <d v="2025-03-11T00:00:00"/>
        <s v="10/28/2025"/>
        <d v="2025-07-11T00:00:00"/>
        <d v="2025-09-11T00:00:00"/>
        <s v="11/14/2025"/>
        <s v="11//21/2025"/>
        <s v="11/24/2025"/>
        <s v="11/17/2025"/>
        <s v="11/21/2025"/>
        <m/>
      </sharedItems>
    </cacheField>
    <cacheField name="Date" numFmtId="14">
      <sharedItems containsDate="1" containsBlank="1" containsMixedTypes="1" minDate="2025-01-11T00:00:00" maxDate="2025-12-12T00:00:00"/>
    </cacheField>
    <cacheField name="Nomor CS" numFmtId="1">
      <sharedItems containsString="0" containsBlank="1" containsNumber="1" containsInteger="1" minValue="6287851627778" maxValue="6287851627778" count="2">
        <n v="6287851627778"/>
        <m/>
      </sharedItems>
    </cacheField>
    <cacheField name="Total" numFmtId="42">
      <sharedItems containsString="0" containsBlank="1" containsNumber="1" containsInteger="1" minValue="20000" maxValue="30000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1"/>
    <s v="Hamba Allah"/>
    <n v="6285228999829"/>
    <s v="Mandiri (CS) 1410029052222 "/>
    <x v="0"/>
    <s v="10/27/2025"/>
    <x v="0"/>
    <n v="100000"/>
    <m/>
  </r>
  <r>
    <n v="2"/>
    <s v="Afif Sogi Fahruddin"/>
    <n v="6285231152243"/>
    <s v="BRI (CS) 115901000648567"/>
    <x v="0"/>
    <s v="10/27/2025"/>
    <x v="0"/>
    <n v="50000"/>
    <m/>
  </r>
  <r>
    <n v="3"/>
    <s v="Gafar Ahmad"/>
    <n v="6282293001020"/>
    <s v="BSI (CS) 7316126698"/>
    <x v="1"/>
    <s v="10/27/2025"/>
    <x v="0"/>
    <n v="100000"/>
    <m/>
  </r>
  <r>
    <n v="4"/>
    <s v="Erna Indayani"/>
    <n v="6282333881600"/>
    <s v="BSI (CS) 7316126698"/>
    <x v="2"/>
    <s v="10/29/2025"/>
    <x v="0"/>
    <n v="50000"/>
    <m/>
  </r>
  <r>
    <n v="5"/>
    <s v="Dody Irawan"/>
    <n v="628117672974"/>
    <s v="BSI (CS) 7316126698"/>
    <x v="3"/>
    <s v="10/30/2025"/>
    <x v="0"/>
    <n v="50000"/>
    <m/>
  </r>
  <r>
    <n v="6"/>
    <s v="Asep Wantjana Amiarta"/>
    <n v="6282295087487"/>
    <s v="BSI (CS) 7316126698"/>
    <x v="4"/>
    <s v="10/30/2025"/>
    <x v="0"/>
    <n v="100000"/>
    <m/>
  </r>
  <r>
    <n v="7"/>
    <s v="Titi Mursiti"/>
    <n v="6287729712484"/>
    <s v="Mandiri (CS) 1410029052222 "/>
    <x v="5"/>
    <s v="10/31/2025"/>
    <x v="0"/>
    <n v="50000"/>
    <m/>
  </r>
  <r>
    <n v="8"/>
    <s v="Muhammad Arief"/>
    <n v="6282387652930"/>
    <s v="Mandiri (CS) 1410029052222 "/>
    <x v="2"/>
    <s v="10/31/2025"/>
    <x v="0"/>
    <n v="100000"/>
    <m/>
  </r>
  <r>
    <n v="9"/>
    <s v="Sri Peny Hartati"/>
    <n v="6285865528085"/>
    <s v="Mandiri (CS) 1410029052222 "/>
    <x v="5"/>
    <s v="10/31/2025"/>
    <x v="0"/>
    <n v="20000"/>
    <m/>
  </r>
  <r>
    <n v="10"/>
    <s v="Hamidah Zulkifli"/>
    <n v="6285163082103"/>
    <s v="BRI (CS) 115901000648567"/>
    <x v="5"/>
    <s v="10/31/2025"/>
    <x v="0"/>
    <n v="100000"/>
    <m/>
  </r>
  <r>
    <n v="11"/>
    <s v="Darni Faisal "/>
    <n v="6282182171277"/>
    <s v="BRI (CS) 115901000648567"/>
    <x v="3"/>
    <s v="10/31/2025"/>
    <x v="0"/>
    <n v="50000"/>
    <m/>
  </r>
  <r>
    <n v="12"/>
    <s v="Hj Mimin Sari"/>
    <n v="6282214688293"/>
    <s v="BNI (CS) 5005003227"/>
    <x v="6"/>
    <s v="10/31/2025"/>
    <x v="0"/>
    <n v="100000"/>
    <m/>
  </r>
  <r>
    <n v="13"/>
    <s v="Dody Irawan"/>
    <n v="628117672974"/>
    <s v="BSI (CS) 7316126698"/>
    <x v="3"/>
    <d v="2025-01-11T00:00:00"/>
    <x v="0"/>
    <n v="100000"/>
    <m/>
  </r>
  <r>
    <n v="14"/>
    <s v="Nuraeni"/>
    <n v="6285881652602"/>
    <s v="BNI (CS) 5005003227"/>
    <x v="7"/>
    <d v="2025-02-11T00:00:00"/>
    <x v="0"/>
    <n v="30000"/>
    <m/>
  </r>
  <r>
    <n v="15"/>
    <s v="Sarqiyah"/>
    <n v="6285882626440"/>
    <s v="BSI (CS) 7316126698"/>
    <x v="7"/>
    <d v="2025-02-11T00:00:00"/>
    <x v="0"/>
    <n v="70000"/>
    <m/>
  </r>
  <r>
    <n v="16"/>
    <s v="Ilham Pratomo"/>
    <n v="6289502012519"/>
    <s v="BNI (CS) 5005003227"/>
    <x v="7"/>
    <d v="2025-02-11T00:00:00"/>
    <x v="0"/>
    <n v="150000"/>
    <m/>
  </r>
  <r>
    <n v="17"/>
    <s v="Kurniasih"/>
    <n v="6287841208514"/>
    <s v="Mandiri (CS) 1410029052222 "/>
    <x v="8"/>
    <d v="2025-03-11T00:00:00"/>
    <x v="0"/>
    <n v="50000"/>
    <m/>
  </r>
  <r>
    <n v="18"/>
    <s v="Filhafi Faojah"/>
    <n v="6285888444146"/>
    <s v="BSI (CS) 7316126698"/>
    <x v="8"/>
    <d v="2025-03-11T00:00:00"/>
    <x v="0"/>
    <n v="50000"/>
    <m/>
  </r>
  <r>
    <n v="19"/>
    <s v="Asdar"/>
    <n v="6285756222559"/>
    <s v="BRI (CS) 115901000648567"/>
    <x v="8"/>
    <d v="2025-03-11T00:00:00"/>
    <x v="0"/>
    <n v="100000"/>
    <m/>
  </r>
  <r>
    <n v="20"/>
    <s v="Sulami "/>
    <n v="6285244311348"/>
    <s v="BRI (CS) 115901000648567"/>
    <x v="9"/>
    <d v="2025-05-11T00:00:00"/>
    <x v="0"/>
    <n v="100000"/>
    <m/>
  </r>
  <r>
    <n v="21"/>
    <s v="Ahmad Tarmudin"/>
    <n v="6285716386801"/>
    <s v="Mandiri (CS) 1410029052222 "/>
    <x v="10"/>
    <d v="2025-07-11T00:00:00"/>
    <x v="0"/>
    <n v="100000"/>
    <m/>
  </r>
  <r>
    <n v="22"/>
    <s v="Titiek Chairuniza"/>
    <n v="6281284452036"/>
    <s v="BSI (CS) 7316126698"/>
    <x v="5"/>
    <d v="2025-07-11T00:00:00"/>
    <x v="0"/>
    <n v="150000"/>
    <m/>
  </r>
  <r>
    <n v="23"/>
    <s v="Yusmayani"/>
    <n v="6285763575795"/>
    <s v="BNI (CS) 5005003227"/>
    <x v="10"/>
    <d v="2025-07-11T00:00:00"/>
    <x v="0"/>
    <n v="50000"/>
    <m/>
  </r>
  <r>
    <n v="24"/>
    <s v="Iqbal Firdaus"/>
    <n v="6287758712611"/>
    <s v="BSI (CS) 7316126698"/>
    <x v="5"/>
    <d v="2025-07-11T00:00:00"/>
    <x v="0"/>
    <n v="50000"/>
    <m/>
  </r>
  <r>
    <n v="25"/>
    <s v="Mardalina"/>
    <n v="62818579950"/>
    <s v="BNI (CS) 5005003227"/>
    <x v="10"/>
    <d v="2025-07-11T00:00:00"/>
    <x v="0"/>
    <n v="100000"/>
    <m/>
  </r>
  <r>
    <n v="26"/>
    <s v="Dona Himawan"/>
    <n v="62817180836"/>
    <s v="Mandiri (CS) 1410029052222 "/>
    <x v="10"/>
    <d v="2025-07-11T00:00:00"/>
    <x v="0"/>
    <n v="100000"/>
    <m/>
  </r>
  <r>
    <n v="27"/>
    <s v="Ahmad Rofiq"/>
    <n v="6282129968287"/>
    <s v="BSI (Ads) 7772526274 "/>
    <x v="10"/>
    <d v="2025-07-11T00:00:00"/>
    <x v="0"/>
    <n v="50000"/>
    <m/>
  </r>
  <r>
    <n v="28"/>
    <s v="Ahmad Rofiq"/>
    <n v="6282129968287"/>
    <s v="BSI (Ads) 7772526274 "/>
    <x v="6"/>
    <d v="2025-08-11T00:00:00"/>
    <x v="0"/>
    <n v="50000"/>
    <m/>
  </r>
  <r>
    <n v="29"/>
    <s v="Ahmad Rofiq"/>
    <n v="6282129968287"/>
    <s v="BSI (Ads) 7772526274 "/>
    <x v="6"/>
    <d v="2025-09-11T00:00:00"/>
    <x v="0"/>
    <n v="50000"/>
    <m/>
  </r>
  <r>
    <n v="30"/>
    <s v="Ahmad Rofiq"/>
    <n v="6282129968287"/>
    <s v="BSI (Ads) 7772526274 "/>
    <x v="6"/>
    <d v="2025-10-11T00:00:00"/>
    <x v="0"/>
    <n v="50000"/>
    <m/>
  </r>
  <r>
    <n v="31"/>
    <s v="Darni Faisal "/>
    <n v="6282182171277"/>
    <s v="BRI (CS) 115901000648567"/>
    <x v="11"/>
    <d v="2025-11-11T00:00:00"/>
    <x v="0"/>
    <n v="50000"/>
    <m/>
  </r>
  <r>
    <n v="32"/>
    <s v="Dody Irawan"/>
    <n v="628117672974"/>
    <s v="BSI (CS) 7316126698"/>
    <x v="3"/>
    <d v="2025-11-11T00:00:00"/>
    <x v="0"/>
    <n v="150000"/>
    <m/>
  </r>
  <r>
    <n v="33"/>
    <s v="Ahmad Rofiq"/>
    <n v="6282129968287"/>
    <s v="BSI (Ads) 7772526274 "/>
    <x v="6"/>
    <d v="2025-11-11T00:00:00"/>
    <x v="0"/>
    <n v="50000"/>
    <m/>
  </r>
  <r>
    <n v="34"/>
    <s v="Rachmad Hermansyah"/>
    <n v="6283151171721"/>
    <s v="BRI (CS) 115901000648567"/>
    <x v="9"/>
    <d v="2025-12-11T00:00:00"/>
    <x v="0"/>
    <n v="100000"/>
    <m/>
  </r>
  <r>
    <n v="35"/>
    <s v="Sri Peny Hartati"/>
    <n v="6285865528085"/>
    <s v="Mandiri (CS) 1410029052222 "/>
    <x v="5"/>
    <s v="11/13/2025"/>
    <x v="0"/>
    <n v="25000"/>
    <m/>
  </r>
  <r>
    <n v="36"/>
    <s v="Nurbaiti"/>
    <n v="6282123149118"/>
    <s v="Mandiri (CS) 1410029052222 "/>
    <x v="12"/>
    <s v="11/14/2025"/>
    <x v="0"/>
    <n v="100000"/>
    <m/>
  </r>
  <r>
    <n v="37"/>
    <s v="Ilham Nur"/>
    <n v="6282190675873"/>
    <s v="Mandiri (CS) 1410029052222 "/>
    <x v="12"/>
    <s v="11/14/2025"/>
    <x v="0"/>
    <n v="300000"/>
    <m/>
  </r>
  <r>
    <n v="38"/>
    <s v="Ferri Nuzarli"/>
    <n v="628129377817"/>
    <s v="Mandiri (CS) 1410029052222 "/>
    <x v="12"/>
    <s v="11/14/2025"/>
    <x v="0"/>
    <n v="300000"/>
    <m/>
  </r>
  <r>
    <n v="39"/>
    <s v="Krysia Wiji Hastuti"/>
    <n v="6281542082284"/>
    <s v="BRI (CS) 115901000648567"/>
    <x v="12"/>
    <s v="11/14/2025"/>
    <x v="0"/>
    <n v="50000"/>
    <m/>
  </r>
  <r>
    <n v="40"/>
    <s v="Usman"/>
    <n v="6285276294437"/>
    <s v="BSI (CS) 7316126698"/>
    <x v="12"/>
    <s v="11/14/2025"/>
    <x v="0"/>
    <n v="50000"/>
    <m/>
  </r>
  <r>
    <n v="41"/>
    <s v="Widodo Arif Wicaksono"/>
    <n v="6281575335720"/>
    <s v="BRI (CS) 115901000648567"/>
    <x v="12"/>
    <s v="11/14/2025"/>
    <x v="0"/>
    <n v="25000"/>
    <m/>
  </r>
  <r>
    <n v="42"/>
    <s v="Ahmad Rofiq"/>
    <n v="6282129968287"/>
    <s v="BSI (Ads) 7772526274 "/>
    <x v="6"/>
    <s v="11/16/2025"/>
    <x v="0"/>
    <n v="50000"/>
    <m/>
  </r>
  <r>
    <n v="43"/>
    <s v="Elly Nofianti"/>
    <n v="6285392192288"/>
    <s v="Mandiri (CS) 1410029052222 "/>
    <x v="13"/>
    <s v="11//21/2025"/>
    <x v="0"/>
    <n v="50000"/>
    <m/>
  </r>
  <r>
    <n v="44"/>
    <s v="Muhammad Nurdin"/>
    <n v="6285216239144"/>
    <s v="BSI (Ads) 7772526274 "/>
    <x v="13"/>
    <s v="11//21/2025"/>
    <x v="0"/>
    <n v="50000"/>
    <m/>
  </r>
  <r>
    <n v="45"/>
    <s v="Lailatul Badriyah"/>
    <n v="6285955166733"/>
    <s v="BRI (CS) 115901000648567"/>
    <x v="13"/>
    <s v="11//21/2025"/>
    <x v="0"/>
    <n v="50000"/>
    <m/>
  </r>
  <r>
    <n v="46"/>
    <s v="Ahmad Rofiq"/>
    <n v="6282129968287"/>
    <s v="BSI (Ads) 7772526274 "/>
    <x v="6"/>
    <s v="11/23/2025"/>
    <x v="0"/>
    <n v="50000"/>
    <m/>
  </r>
  <r>
    <n v="47"/>
    <s v="Tri Yanti"/>
    <n v="6282279743633"/>
    <s v="BRI (CS) 115901000648567"/>
    <x v="14"/>
    <s v="11/24/2025"/>
    <x v="0"/>
    <n v="100000"/>
    <m/>
  </r>
  <r>
    <n v="48"/>
    <s v="Ahmad Rofiq"/>
    <n v="6282129968287"/>
    <s v="BSI (Ads) 7772526274 "/>
    <x v="6"/>
    <s v="11/25/2025"/>
    <x v="0"/>
    <n v="50000"/>
    <m/>
  </r>
  <r>
    <n v="49"/>
    <s v="Nena Trisnawati"/>
    <n v="6282315984480"/>
    <s v="Mandiri (Ads) 1410000665448"/>
    <x v="15"/>
    <s v="11/25/2025"/>
    <x v="0"/>
    <n v="50000"/>
    <m/>
  </r>
  <r>
    <n v="50"/>
    <s v="Dody Irawan"/>
    <n v="628117672974"/>
    <s v="BSI (CS) 7316126698"/>
    <x v="16"/>
    <s v="11/25/2025"/>
    <x v="0"/>
    <n v="100000"/>
    <m/>
  </r>
  <r>
    <m/>
    <m/>
    <m/>
    <m/>
    <x v="17"/>
    <m/>
    <x v="1"/>
    <m/>
    <m/>
  </r>
  <r>
    <m/>
    <m/>
    <m/>
    <m/>
    <x v="17"/>
    <m/>
    <x v="1"/>
    <m/>
    <m/>
  </r>
  <r>
    <m/>
    <m/>
    <m/>
    <m/>
    <x v="17"/>
    <m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dataPosition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G24" firstHeaderRow="1" firstDataRow="3" firstDataCol="1"/>
  <pivotFields count="9">
    <pivotField dataField="1" showAll="0"/>
    <pivotField showAll="0"/>
    <pivotField showAll="0"/>
    <pivotField showAll="0"/>
    <pivotField axis="axisRow" showAll="0">
      <items count="19">
        <item x="1"/>
        <item x="3"/>
        <item x="0"/>
        <item x="2"/>
        <item x="4"/>
        <item x="5"/>
        <item x="17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Total" fld="7" baseField="4" baseItem="0"/>
    <dataField name="Count of No" fld="0" subtotal="count" baseField="4" baseItem="0"/>
  </dataFields>
  <formats count="2">
    <format dxfId="16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15">
      <pivotArea grandCol="1"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I54" totalsRowShown="0">
  <autoFilter ref="A1:I54" xr:uid="{00000000-0009-0000-0100-000001000000}"/>
  <tableColumns count="9">
    <tableColumn id="1" xr3:uid="{00000000-0010-0000-0000-000001000000}" name="No" dataDxfId="24"/>
    <tableColumn id="2" xr3:uid="{00000000-0010-0000-0000-000002000000}" name="Donatur" dataDxfId="23"/>
    <tableColumn id="3" xr3:uid="{00000000-0010-0000-0000-000003000000}" name="Whatsapp" dataDxfId="22"/>
    <tableColumn id="4" xr3:uid="{00000000-0010-0000-0000-000004000000}" name="Payment Account" dataDxfId="21"/>
    <tableColumn id="9" xr3:uid="{00000000-0010-0000-0000-000009000000}" name="Date Blast" dataDxfId="0"/>
    <tableColumn id="5" xr3:uid="{00000000-0010-0000-0000-000005000000}" name="Date" dataDxfId="20"/>
    <tableColumn id="6" xr3:uid="{00000000-0010-0000-0000-000006000000}" name="Nomor CS" dataDxfId="19"/>
    <tableColumn id="7" xr3:uid="{00000000-0010-0000-0000-000007000000}" name="Total" dataDxfId="18"/>
    <tableColumn id="10" xr3:uid="{00000000-0010-0000-0000-00000A000000}" name="Column1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topLeftCell="A37" zoomScaleNormal="100" workbookViewId="0">
      <selection activeCell="E12" sqref="E12"/>
    </sheetView>
  </sheetViews>
  <sheetFormatPr defaultColWidth="9" defaultRowHeight="15"/>
  <cols>
    <col min="1" max="1" width="5.5703125" customWidth="1"/>
    <col min="2" max="2" width="39" customWidth="1"/>
    <col min="3" max="3" width="16.140625" style="3" customWidth="1"/>
    <col min="4" max="4" width="25.42578125" customWidth="1"/>
    <col min="5" max="5" width="18" style="34" bestFit="1" customWidth="1"/>
    <col min="6" max="6" width="10.42578125" style="4" customWidth="1"/>
    <col min="7" max="7" width="13.85546875" style="3" customWidth="1"/>
    <col min="8" max="8" width="12.7109375" style="5" customWidth="1"/>
    <col min="9" max="9" width="11.140625" hidden="1" customWidth="1"/>
    <col min="10" max="10" width="31" customWidth="1"/>
    <col min="11" max="11" width="27.85546875" customWidth="1"/>
    <col min="12" max="12" width="13.85546875" customWidth="1"/>
  </cols>
  <sheetData>
    <row r="1" spans="1:19">
      <c r="A1" t="s">
        <v>0</v>
      </c>
      <c r="B1" t="s">
        <v>1</v>
      </c>
      <c r="C1" s="3" t="s">
        <v>2</v>
      </c>
      <c r="D1" t="s">
        <v>3</v>
      </c>
      <c r="E1" s="34" t="s">
        <v>4</v>
      </c>
      <c r="F1" s="4" t="s">
        <v>5</v>
      </c>
      <c r="G1" s="3" t="s">
        <v>6</v>
      </c>
      <c r="H1" s="6" t="s">
        <v>7</v>
      </c>
      <c r="I1" t="s">
        <v>8</v>
      </c>
    </row>
    <row r="2" spans="1:19">
      <c r="A2" s="7">
        <v>1</v>
      </c>
      <c r="B2" s="8" t="s">
        <v>9</v>
      </c>
      <c r="C2" s="9">
        <v>6285228999829</v>
      </c>
      <c r="D2" s="10" t="s">
        <v>10</v>
      </c>
      <c r="E2" s="35" t="s">
        <v>11</v>
      </c>
      <c r="F2" s="11" t="s">
        <v>11</v>
      </c>
      <c r="G2" s="12">
        <v>6287851627778</v>
      </c>
      <c r="H2" s="13">
        <v>100000</v>
      </c>
      <c r="I2" s="24"/>
      <c r="J2" s="25">
        <f>SUM(H8:H13)</f>
        <v>420000</v>
      </c>
    </row>
    <row r="3" spans="1:19">
      <c r="A3" s="7">
        <v>2</v>
      </c>
      <c r="B3" s="8" t="s">
        <v>12</v>
      </c>
      <c r="C3" s="9">
        <v>6285231152243</v>
      </c>
      <c r="D3" s="10" t="s">
        <v>13</v>
      </c>
      <c r="E3" s="35" t="s">
        <v>11</v>
      </c>
      <c r="F3" s="11" t="s">
        <v>11</v>
      </c>
      <c r="G3" s="12">
        <v>6287851627778</v>
      </c>
      <c r="H3" s="13">
        <v>50000</v>
      </c>
      <c r="I3" s="10"/>
      <c r="R3" s="33"/>
      <c r="S3" s="33"/>
    </row>
    <row r="4" spans="1:19">
      <c r="A4" s="7">
        <v>3</v>
      </c>
      <c r="B4" s="7" t="s">
        <v>14</v>
      </c>
      <c r="C4" s="14">
        <v>6282293001020</v>
      </c>
      <c r="D4" s="10" t="s">
        <v>15</v>
      </c>
      <c r="E4" s="35" t="s">
        <v>16</v>
      </c>
      <c r="F4" s="11" t="s">
        <v>11</v>
      </c>
      <c r="G4" s="12">
        <v>6287851627778</v>
      </c>
      <c r="H4" s="15">
        <v>100000</v>
      </c>
      <c r="I4" s="10"/>
    </row>
    <row r="5" spans="1:19">
      <c r="A5" s="7">
        <v>4</v>
      </c>
      <c r="B5" s="7" t="s">
        <v>17</v>
      </c>
      <c r="C5" s="14">
        <v>6282333881600</v>
      </c>
      <c r="D5" s="10" t="s">
        <v>15</v>
      </c>
      <c r="E5" s="35" t="s">
        <v>18</v>
      </c>
      <c r="F5" s="11" t="s">
        <v>18</v>
      </c>
      <c r="G5" s="12">
        <v>6287851627778</v>
      </c>
      <c r="H5" s="15">
        <v>50000</v>
      </c>
      <c r="I5" s="10"/>
      <c r="J5" t="s">
        <v>19</v>
      </c>
      <c r="K5" s="1" t="s">
        <v>20</v>
      </c>
    </row>
    <row r="6" spans="1:19">
      <c r="A6" s="7">
        <v>5</v>
      </c>
      <c r="B6" s="7" t="s">
        <v>21</v>
      </c>
      <c r="C6" s="14">
        <v>628117672974</v>
      </c>
      <c r="D6" s="10" t="s">
        <v>15</v>
      </c>
      <c r="E6" s="36" t="s">
        <v>22</v>
      </c>
      <c r="F6" s="11" t="s">
        <v>23</v>
      </c>
      <c r="G6" s="12">
        <v>6287851627778</v>
      </c>
      <c r="H6" s="15">
        <v>50000</v>
      </c>
      <c r="I6" s="26"/>
      <c r="J6" t="s">
        <v>10</v>
      </c>
      <c r="K6" s="1" t="s">
        <v>19</v>
      </c>
    </row>
    <row r="7" spans="1:19">
      <c r="A7" s="7">
        <v>6</v>
      </c>
      <c r="B7" s="7" t="s">
        <v>24</v>
      </c>
      <c r="C7" s="14">
        <v>6282295087487</v>
      </c>
      <c r="D7" s="10" t="s">
        <v>15</v>
      </c>
      <c r="E7" s="35" t="s">
        <v>23</v>
      </c>
      <c r="F7" s="11" t="s">
        <v>23</v>
      </c>
      <c r="G7" s="12">
        <v>6287851627778</v>
      </c>
      <c r="H7" s="15">
        <v>100000</v>
      </c>
      <c r="I7" s="10"/>
      <c r="J7" t="s">
        <v>25</v>
      </c>
      <c r="K7" s="1" t="s">
        <v>10</v>
      </c>
    </row>
    <row r="8" spans="1:19">
      <c r="A8" s="7">
        <v>7</v>
      </c>
      <c r="B8" s="7" t="s">
        <v>26</v>
      </c>
      <c r="C8" s="14">
        <v>6287729712484</v>
      </c>
      <c r="D8" s="10" t="s">
        <v>10</v>
      </c>
      <c r="E8" s="35" t="s">
        <v>27</v>
      </c>
      <c r="F8" s="11" t="s">
        <v>27</v>
      </c>
      <c r="G8" s="12">
        <v>6287851627778</v>
      </c>
      <c r="H8" s="15">
        <v>50000</v>
      </c>
      <c r="I8" s="10"/>
      <c r="J8" t="s">
        <v>28</v>
      </c>
      <c r="K8" s="1"/>
    </row>
    <row r="9" spans="1:19">
      <c r="A9" s="7">
        <v>8</v>
      </c>
      <c r="B9" s="7" t="s">
        <v>29</v>
      </c>
      <c r="C9" s="14">
        <v>6282387652930</v>
      </c>
      <c r="D9" s="10" t="s">
        <v>10</v>
      </c>
      <c r="E9" s="35" t="s">
        <v>18</v>
      </c>
      <c r="F9" s="11" t="s">
        <v>27</v>
      </c>
      <c r="G9" s="12">
        <v>6287851627778</v>
      </c>
      <c r="H9" s="15">
        <v>100000</v>
      </c>
      <c r="I9" s="10"/>
      <c r="J9" t="s">
        <v>30</v>
      </c>
      <c r="K9" s="1" t="s">
        <v>31</v>
      </c>
    </row>
    <row r="10" spans="1:19">
      <c r="A10" s="7">
        <v>9</v>
      </c>
      <c r="B10" s="7" t="s">
        <v>32</v>
      </c>
      <c r="C10" s="14">
        <v>6285865528085</v>
      </c>
      <c r="D10" s="10" t="s">
        <v>10</v>
      </c>
      <c r="E10" s="35" t="s">
        <v>27</v>
      </c>
      <c r="F10" s="11" t="s">
        <v>27</v>
      </c>
      <c r="G10" s="12">
        <v>6287851627778</v>
      </c>
      <c r="H10" s="15">
        <v>20000</v>
      </c>
      <c r="I10" s="10"/>
      <c r="J10" t="s">
        <v>15</v>
      </c>
      <c r="K10" s="1" t="s">
        <v>33</v>
      </c>
    </row>
    <row r="11" spans="1:19">
      <c r="A11" s="7">
        <v>10</v>
      </c>
      <c r="B11" s="7" t="s">
        <v>34</v>
      </c>
      <c r="C11" s="14">
        <v>6285163082103</v>
      </c>
      <c r="D11" s="10" t="s">
        <v>13</v>
      </c>
      <c r="E11" s="35" t="s">
        <v>27</v>
      </c>
      <c r="F11" s="11" t="s">
        <v>27</v>
      </c>
      <c r="G11" s="12">
        <v>6287851627778</v>
      </c>
      <c r="H11" s="15">
        <v>100000</v>
      </c>
      <c r="I11" s="10"/>
      <c r="J11" t="s">
        <v>35</v>
      </c>
      <c r="K11" s="1" t="s">
        <v>28</v>
      </c>
    </row>
    <row r="12" spans="1:19">
      <c r="A12" s="7">
        <v>11</v>
      </c>
      <c r="B12" s="7" t="s">
        <v>36</v>
      </c>
      <c r="C12" s="9">
        <v>6282182171277</v>
      </c>
      <c r="D12" s="30" t="s">
        <v>13</v>
      </c>
      <c r="E12" s="35" t="s">
        <v>22</v>
      </c>
      <c r="F12" s="11" t="s">
        <v>27</v>
      </c>
      <c r="G12" s="12">
        <v>6287851627778</v>
      </c>
      <c r="H12" s="13">
        <v>50000</v>
      </c>
      <c r="I12" s="26"/>
      <c r="J12" t="s">
        <v>13</v>
      </c>
      <c r="K12" s="27"/>
    </row>
    <row r="13" spans="1:19">
      <c r="A13" s="7">
        <v>12</v>
      </c>
      <c r="B13" s="16" t="s">
        <v>37</v>
      </c>
      <c r="C13" s="17">
        <v>6282214688293</v>
      </c>
      <c r="D13" s="18" t="s">
        <v>28</v>
      </c>
      <c r="E13" s="35" t="s">
        <v>38</v>
      </c>
      <c r="F13" s="11" t="s">
        <v>27</v>
      </c>
      <c r="G13" s="12">
        <v>6287851627778</v>
      </c>
      <c r="H13" s="19">
        <v>100000</v>
      </c>
      <c r="I13" s="18"/>
      <c r="K13" s="1" t="s">
        <v>39</v>
      </c>
    </row>
    <row r="14" spans="1:19">
      <c r="A14" s="7">
        <v>13</v>
      </c>
      <c r="B14" s="7" t="s">
        <v>21</v>
      </c>
      <c r="C14" s="14">
        <v>628117672974</v>
      </c>
      <c r="D14" s="10" t="s">
        <v>15</v>
      </c>
      <c r="E14" s="35" t="s">
        <v>22</v>
      </c>
      <c r="F14" s="11">
        <v>45668</v>
      </c>
      <c r="G14" s="12">
        <v>6287851627778</v>
      </c>
      <c r="H14" s="15">
        <v>100000</v>
      </c>
      <c r="I14" s="10"/>
      <c r="K14" s="1" t="s">
        <v>30</v>
      </c>
    </row>
    <row r="15" spans="1:19">
      <c r="A15" s="7">
        <v>14</v>
      </c>
      <c r="B15" s="7" t="s">
        <v>49</v>
      </c>
      <c r="C15" s="14">
        <v>6285881652602</v>
      </c>
      <c r="D15" s="10" t="s">
        <v>28</v>
      </c>
      <c r="E15" s="35">
        <v>45963</v>
      </c>
      <c r="F15" s="11">
        <v>45699</v>
      </c>
      <c r="G15" s="12">
        <v>6287851627778</v>
      </c>
      <c r="H15" s="15">
        <v>30000</v>
      </c>
      <c r="I15" s="10"/>
      <c r="J15" s="28">
        <v>6287851627778</v>
      </c>
      <c r="K15" s="1" t="s">
        <v>15</v>
      </c>
    </row>
    <row r="16" spans="1:19">
      <c r="A16" s="7">
        <v>15</v>
      </c>
      <c r="B16" s="7" t="s">
        <v>50</v>
      </c>
      <c r="C16" s="14">
        <v>6285882626440</v>
      </c>
      <c r="D16" s="10" t="s">
        <v>15</v>
      </c>
      <c r="E16" s="35">
        <v>45963</v>
      </c>
      <c r="F16" s="11">
        <v>45699</v>
      </c>
      <c r="G16" s="12">
        <v>6287851627778</v>
      </c>
      <c r="H16" s="15">
        <v>70000</v>
      </c>
      <c r="I16" s="10"/>
      <c r="J16" s="28">
        <v>6285119990038</v>
      </c>
      <c r="K16" s="27"/>
    </row>
    <row r="17" spans="1:11">
      <c r="A17" s="7">
        <v>16</v>
      </c>
      <c r="B17" s="7" t="s">
        <v>51</v>
      </c>
      <c r="C17" s="14">
        <v>6289502012519</v>
      </c>
      <c r="D17" s="10" t="s">
        <v>28</v>
      </c>
      <c r="E17" s="35">
        <v>45963</v>
      </c>
      <c r="F17" s="11">
        <v>45699</v>
      </c>
      <c r="G17" s="12">
        <v>6287851627778</v>
      </c>
      <c r="H17" s="15">
        <v>150000</v>
      </c>
      <c r="I17" s="10"/>
      <c r="K17" s="1" t="s">
        <v>40</v>
      </c>
    </row>
    <row r="18" spans="1:11">
      <c r="A18" s="7">
        <v>17</v>
      </c>
      <c r="B18" s="7" t="s">
        <v>52</v>
      </c>
      <c r="C18" s="14">
        <v>6287841208514</v>
      </c>
      <c r="D18" s="10" t="s">
        <v>10</v>
      </c>
      <c r="E18" s="35">
        <v>45964</v>
      </c>
      <c r="F18" s="11">
        <v>45727</v>
      </c>
      <c r="G18" s="12">
        <v>6287851627778</v>
      </c>
      <c r="H18" s="15">
        <v>50000</v>
      </c>
      <c r="I18" s="10"/>
      <c r="J18" s="25"/>
      <c r="K18" s="1" t="s">
        <v>35</v>
      </c>
    </row>
    <row r="19" spans="1:11">
      <c r="A19" s="7">
        <v>18</v>
      </c>
      <c r="B19" s="7" t="s">
        <v>53</v>
      </c>
      <c r="C19" s="14">
        <v>6285888444146</v>
      </c>
      <c r="D19" s="10" t="s">
        <v>15</v>
      </c>
      <c r="E19" s="35">
        <v>45964</v>
      </c>
      <c r="F19" s="11">
        <v>45727</v>
      </c>
      <c r="G19" s="12">
        <v>6287851627778</v>
      </c>
      <c r="H19" s="15">
        <v>50000</v>
      </c>
      <c r="I19" s="10"/>
      <c r="K19" s="1" t="s">
        <v>13</v>
      </c>
    </row>
    <row r="20" spans="1:11">
      <c r="A20" s="7">
        <v>19</v>
      </c>
      <c r="B20" s="7" t="s">
        <v>54</v>
      </c>
      <c r="C20" s="14">
        <v>6285756222559</v>
      </c>
      <c r="D20" s="10" t="s">
        <v>13</v>
      </c>
      <c r="E20" s="35">
        <v>45964</v>
      </c>
      <c r="F20" s="11">
        <v>45727</v>
      </c>
      <c r="G20" s="12">
        <v>6287851627778</v>
      </c>
      <c r="H20" s="15">
        <v>100000</v>
      </c>
      <c r="I20" s="10"/>
    </row>
    <row r="21" spans="1:11">
      <c r="A21" s="7">
        <v>20</v>
      </c>
      <c r="B21" s="7" t="s">
        <v>55</v>
      </c>
      <c r="C21" s="14">
        <v>6285244311348</v>
      </c>
      <c r="D21" s="10" t="s">
        <v>13</v>
      </c>
      <c r="E21" s="36" t="s">
        <v>56</v>
      </c>
      <c r="F21" s="11">
        <v>45788</v>
      </c>
      <c r="G21" s="12">
        <v>6287851627778</v>
      </c>
      <c r="H21" s="15">
        <v>100000</v>
      </c>
      <c r="I21" s="10"/>
    </row>
    <row r="22" spans="1:11">
      <c r="A22" s="7">
        <v>21</v>
      </c>
      <c r="B22" s="7" t="s">
        <v>57</v>
      </c>
      <c r="C22" s="14">
        <v>6285716386801</v>
      </c>
      <c r="D22" s="10" t="s">
        <v>10</v>
      </c>
      <c r="E22" s="35">
        <v>45968</v>
      </c>
      <c r="F22" s="11">
        <v>45849</v>
      </c>
      <c r="G22" s="12">
        <v>6287851627778</v>
      </c>
      <c r="H22" s="15">
        <v>100000</v>
      </c>
      <c r="I22" s="10"/>
      <c r="J22" s="25"/>
    </row>
    <row r="23" spans="1:11">
      <c r="A23" s="7">
        <v>22</v>
      </c>
      <c r="B23" s="7" t="s">
        <v>58</v>
      </c>
      <c r="C23" s="14">
        <v>6281284452036</v>
      </c>
      <c r="D23" s="10" t="s">
        <v>15</v>
      </c>
      <c r="E23" s="35" t="s">
        <v>27</v>
      </c>
      <c r="F23" s="11">
        <v>45849</v>
      </c>
      <c r="G23" s="12">
        <v>6287851627778</v>
      </c>
      <c r="H23" s="15">
        <v>150000</v>
      </c>
      <c r="I23" s="10"/>
    </row>
    <row r="24" spans="1:11">
      <c r="A24" s="7">
        <v>23</v>
      </c>
      <c r="B24" s="7" t="s">
        <v>59</v>
      </c>
      <c r="C24" s="14">
        <v>6285763575795</v>
      </c>
      <c r="D24" s="10" t="s">
        <v>28</v>
      </c>
      <c r="E24" s="35">
        <v>45968</v>
      </c>
      <c r="F24" s="11">
        <v>45849</v>
      </c>
      <c r="G24" s="12">
        <v>6287851627778</v>
      </c>
      <c r="H24" s="15">
        <v>50000</v>
      </c>
      <c r="I24" s="10"/>
    </row>
    <row r="25" spans="1:11">
      <c r="A25" s="7">
        <v>24</v>
      </c>
      <c r="B25" s="7" t="s">
        <v>60</v>
      </c>
      <c r="C25" s="14">
        <v>6287758712611</v>
      </c>
      <c r="D25" s="10" t="s">
        <v>15</v>
      </c>
      <c r="E25" s="35" t="s">
        <v>27</v>
      </c>
      <c r="F25" s="11">
        <v>45849</v>
      </c>
      <c r="G25" s="12">
        <v>6287851627778</v>
      </c>
      <c r="H25" s="15">
        <v>50000</v>
      </c>
      <c r="I25" s="10"/>
    </row>
    <row r="26" spans="1:11">
      <c r="A26" s="7">
        <v>25</v>
      </c>
      <c r="B26" s="7" t="s">
        <v>61</v>
      </c>
      <c r="C26" s="14">
        <v>62818579950</v>
      </c>
      <c r="D26" s="10" t="s">
        <v>28</v>
      </c>
      <c r="E26" s="35">
        <v>45968</v>
      </c>
      <c r="F26" s="11">
        <v>45849</v>
      </c>
      <c r="G26" s="12">
        <v>6287851627778</v>
      </c>
      <c r="H26" s="15">
        <v>100000</v>
      </c>
      <c r="I26" s="10"/>
    </row>
    <row r="27" spans="1:11">
      <c r="A27" s="7">
        <v>26</v>
      </c>
      <c r="B27" s="7" t="s">
        <v>62</v>
      </c>
      <c r="C27" s="14">
        <v>62817180836</v>
      </c>
      <c r="D27" s="10" t="s">
        <v>10</v>
      </c>
      <c r="E27" s="35">
        <v>45968</v>
      </c>
      <c r="F27" s="11">
        <v>45849</v>
      </c>
      <c r="G27" s="12">
        <v>6287851627778</v>
      </c>
      <c r="H27" s="15">
        <v>100000</v>
      </c>
      <c r="I27" s="18"/>
    </row>
    <row r="28" spans="1:11">
      <c r="A28" s="7">
        <v>27</v>
      </c>
      <c r="B28" s="7" t="s">
        <v>63</v>
      </c>
      <c r="C28" s="14">
        <v>6282129968287</v>
      </c>
      <c r="D28" s="10" t="s">
        <v>30</v>
      </c>
      <c r="E28" s="35">
        <v>45968</v>
      </c>
      <c r="F28" s="11">
        <v>45849</v>
      </c>
      <c r="G28" s="12">
        <v>6287851627778</v>
      </c>
      <c r="H28" s="15">
        <v>50000</v>
      </c>
      <c r="I28" s="10"/>
    </row>
    <row r="29" spans="1:11">
      <c r="A29" s="7">
        <v>28</v>
      </c>
      <c r="B29" s="7" t="s">
        <v>63</v>
      </c>
      <c r="C29" s="14">
        <v>6282129968287</v>
      </c>
      <c r="D29" s="10" t="s">
        <v>30</v>
      </c>
      <c r="E29" s="37" t="s">
        <v>38</v>
      </c>
      <c r="F29" s="11">
        <v>45880</v>
      </c>
      <c r="G29" s="12">
        <v>6287851627778</v>
      </c>
      <c r="H29" s="15">
        <v>50000</v>
      </c>
      <c r="I29" s="10"/>
    </row>
    <row r="30" spans="1:11">
      <c r="A30" s="7">
        <v>29</v>
      </c>
      <c r="B30" s="7" t="s">
        <v>63</v>
      </c>
      <c r="C30" s="14">
        <v>6282129968287</v>
      </c>
      <c r="D30" s="10" t="s">
        <v>30</v>
      </c>
      <c r="E30" s="37" t="s">
        <v>38</v>
      </c>
      <c r="F30" s="20">
        <v>45911</v>
      </c>
      <c r="G30" s="21">
        <v>6287851627778</v>
      </c>
      <c r="H30" s="19">
        <v>50000</v>
      </c>
      <c r="I30" s="18"/>
    </row>
    <row r="31" spans="1:11">
      <c r="A31" s="7">
        <v>30</v>
      </c>
      <c r="B31" s="7" t="s">
        <v>63</v>
      </c>
      <c r="C31" s="14">
        <v>6282129968287</v>
      </c>
      <c r="D31" s="10" t="s">
        <v>30</v>
      </c>
      <c r="E31" s="37" t="s">
        <v>38</v>
      </c>
      <c r="F31" s="20">
        <v>45941</v>
      </c>
      <c r="G31" s="21">
        <v>6287851627778</v>
      </c>
      <c r="H31" s="19">
        <v>50000</v>
      </c>
      <c r="I31" s="18"/>
    </row>
    <row r="32" spans="1:11">
      <c r="A32" s="7">
        <v>31</v>
      </c>
      <c r="B32" s="16" t="s">
        <v>36</v>
      </c>
      <c r="C32" s="9">
        <v>6282182171277</v>
      </c>
      <c r="D32" s="18" t="s">
        <v>13</v>
      </c>
      <c r="E32" s="35">
        <v>45970</v>
      </c>
      <c r="F32" s="20">
        <v>45972</v>
      </c>
      <c r="G32" s="21">
        <v>6287851627778</v>
      </c>
      <c r="H32" s="19">
        <v>50000</v>
      </c>
      <c r="I32" s="18"/>
      <c r="J32" s="25"/>
    </row>
    <row r="33" spans="1:12">
      <c r="A33" s="7">
        <v>32</v>
      </c>
      <c r="B33" s="16" t="s">
        <v>21</v>
      </c>
      <c r="C33" s="14">
        <v>628117672974</v>
      </c>
      <c r="D33" s="18" t="s">
        <v>15</v>
      </c>
      <c r="E33" s="35" t="s">
        <v>22</v>
      </c>
      <c r="F33" s="20">
        <v>45972</v>
      </c>
      <c r="G33" s="21">
        <v>6287851627778</v>
      </c>
      <c r="H33" s="19">
        <v>150000</v>
      </c>
      <c r="I33" s="18"/>
    </row>
    <row r="34" spans="1:12">
      <c r="A34" s="7">
        <v>33</v>
      </c>
      <c r="B34" s="7" t="s">
        <v>63</v>
      </c>
      <c r="C34" s="14">
        <v>6282129968287</v>
      </c>
      <c r="D34" s="10" t="s">
        <v>30</v>
      </c>
      <c r="E34" s="37" t="s">
        <v>38</v>
      </c>
      <c r="F34" s="20">
        <v>45972</v>
      </c>
      <c r="G34" s="21">
        <v>6287851627778</v>
      </c>
      <c r="H34" s="19">
        <v>50000</v>
      </c>
      <c r="I34" s="18"/>
    </row>
    <row r="35" spans="1:12">
      <c r="A35" s="7">
        <v>34</v>
      </c>
      <c r="B35" s="16" t="s">
        <v>64</v>
      </c>
      <c r="C35" s="17">
        <v>6283151171721</v>
      </c>
      <c r="D35" s="18" t="s">
        <v>13</v>
      </c>
      <c r="E35" s="37" t="s">
        <v>56</v>
      </c>
      <c r="F35" s="20">
        <v>46002</v>
      </c>
      <c r="G35" s="21">
        <v>6287851627778</v>
      </c>
      <c r="H35" s="19">
        <v>100000</v>
      </c>
      <c r="I35" s="18"/>
    </row>
    <row r="36" spans="1:12">
      <c r="A36" s="7">
        <v>35</v>
      </c>
      <c r="B36" s="16" t="s">
        <v>32</v>
      </c>
      <c r="C36" s="17">
        <v>6285865528085</v>
      </c>
      <c r="D36" s="18" t="s">
        <v>10</v>
      </c>
      <c r="E36" s="37" t="s">
        <v>27</v>
      </c>
      <c r="F36" s="20" t="s">
        <v>65</v>
      </c>
      <c r="G36" s="21">
        <v>6287851627778</v>
      </c>
      <c r="H36" s="19">
        <v>25000</v>
      </c>
      <c r="I36" s="18"/>
    </row>
    <row r="37" spans="1:12">
      <c r="A37" s="7">
        <v>36</v>
      </c>
      <c r="B37" s="16" t="s">
        <v>66</v>
      </c>
      <c r="C37" s="17">
        <v>6282123149118</v>
      </c>
      <c r="D37" s="18" t="s">
        <v>10</v>
      </c>
      <c r="E37" s="37" t="s">
        <v>67</v>
      </c>
      <c r="F37" s="20" t="s">
        <v>67</v>
      </c>
      <c r="G37" s="21">
        <v>6287851627778</v>
      </c>
      <c r="H37" s="19">
        <v>100000</v>
      </c>
      <c r="I37" s="18"/>
      <c r="J37" s="25">
        <f>SUM(H37:H42)</f>
        <v>825000</v>
      </c>
    </row>
    <row r="38" spans="1:12" ht="15.75">
      <c r="A38" s="7">
        <v>37</v>
      </c>
      <c r="B38" s="16" t="s">
        <v>68</v>
      </c>
      <c r="C38" s="22">
        <v>6282190675873</v>
      </c>
      <c r="D38" s="18" t="s">
        <v>10</v>
      </c>
      <c r="E38" s="37" t="s">
        <v>67</v>
      </c>
      <c r="F38" s="20" t="s">
        <v>67</v>
      </c>
      <c r="G38" s="21">
        <v>6287851627778</v>
      </c>
      <c r="H38" s="19">
        <v>300000</v>
      </c>
      <c r="I38" s="18"/>
    </row>
    <row r="39" spans="1:12">
      <c r="A39" s="7">
        <v>38</v>
      </c>
      <c r="B39" s="16" t="s">
        <v>69</v>
      </c>
      <c r="C39" s="17">
        <v>628129377817</v>
      </c>
      <c r="D39" s="18" t="s">
        <v>10</v>
      </c>
      <c r="E39" s="37" t="s">
        <v>67</v>
      </c>
      <c r="F39" s="20" t="s">
        <v>67</v>
      </c>
      <c r="G39" s="21">
        <v>6287851627778</v>
      </c>
      <c r="H39" s="19">
        <v>300000</v>
      </c>
      <c r="I39" s="18"/>
      <c r="J39" s="25"/>
    </row>
    <row r="40" spans="1:12">
      <c r="A40" s="7">
        <v>39</v>
      </c>
      <c r="B40" s="16" t="s">
        <v>70</v>
      </c>
      <c r="C40" s="17">
        <v>6281542082284</v>
      </c>
      <c r="D40" s="18" t="s">
        <v>13</v>
      </c>
      <c r="E40" s="37" t="s">
        <v>67</v>
      </c>
      <c r="F40" s="20" t="s">
        <v>67</v>
      </c>
      <c r="G40" s="21">
        <v>6287851627778</v>
      </c>
      <c r="H40" s="19">
        <v>50000</v>
      </c>
      <c r="I40" s="18"/>
    </row>
    <row r="41" spans="1:12">
      <c r="A41" s="7">
        <v>40</v>
      </c>
      <c r="B41" s="16" t="s">
        <v>71</v>
      </c>
      <c r="C41" s="17">
        <v>6285276294437</v>
      </c>
      <c r="D41" s="18" t="s">
        <v>15</v>
      </c>
      <c r="E41" s="37" t="s">
        <v>67</v>
      </c>
      <c r="F41" s="20" t="s">
        <v>67</v>
      </c>
      <c r="G41" s="21">
        <v>6287851627778</v>
      </c>
      <c r="H41" s="19">
        <v>50000</v>
      </c>
      <c r="I41" s="18"/>
    </row>
    <row r="42" spans="1:12" ht="15.75">
      <c r="A42" s="7">
        <v>41</v>
      </c>
      <c r="B42" s="16" t="s">
        <v>72</v>
      </c>
      <c r="C42" s="23">
        <v>6281575335720</v>
      </c>
      <c r="D42" s="18" t="s">
        <v>13</v>
      </c>
      <c r="E42" s="37" t="s">
        <v>67</v>
      </c>
      <c r="F42" s="20" t="s">
        <v>67</v>
      </c>
      <c r="G42" s="21">
        <v>6287851627778</v>
      </c>
      <c r="H42" s="19">
        <v>25000</v>
      </c>
      <c r="I42" s="18"/>
      <c r="L42" s="25"/>
    </row>
    <row r="43" spans="1:12">
      <c r="A43" s="7">
        <v>42</v>
      </c>
      <c r="B43" s="7" t="s">
        <v>63</v>
      </c>
      <c r="C43" s="14">
        <v>6282129968287</v>
      </c>
      <c r="D43" s="10" t="s">
        <v>30</v>
      </c>
      <c r="E43" s="37" t="s">
        <v>38</v>
      </c>
      <c r="F43" s="20" t="s">
        <v>73</v>
      </c>
      <c r="G43" s="21">
        <v>6287851627778</v>
      </c>
      <c r="H43" s="19">
        <v>50000</v>
      </c>
      <c r="I43" s="18"/>
    </row>
    <row r="44" spans="1:12">
      <c r="A44" s="7">
        <v>43</v>
      </c>
      <c r="B44" s="16" t="s">
        <v>74</v>
      </c>
      <c r="C44" s="17">
        <v>6285392192288</v>
      </c>
      <c r="D44" s="18" t="s">
        <v>10</v>
      </c>
      <c r="E44" s="37" t="s">
        <v>75</v>
      </c>
      <c r="F44" s="20" t="s">
        <v>75</v>
      </c>
      <c r="G44" s="21">
        <v>6287851627778</v>
      </c>
      <c r="H44" s="19">
        <v>50000</v>
      </c>
      <c r="I44" s="18"/>
    </row>
    <row r="45" spans="1:12">
      <c r="A45" s="7">
        <v>44</v>
      </c>
      <c r="B45" s="16" t="s">
        <v>76</v>
      </c>
      <c r="C45" s="17">
        <v>6285216239144</v>
      </c>
      <c r="D45" s="18" t="s">
        <v>30</v>
      </c>
      <c r="E45" s="37" t="s">
        <v>75</v>
      </c>
      <c r="F45" s="20" t="s">
        <v>75</v>
      </c>
      <c r="G45" s="21">
        <v>6287851627778</v>
      </c>
      <c r="H45" s="19">
        <v>50000</v>
      </c>
      <c r="I45" s="18"/>
    </row>
    <row r="46" spans="1:12">
      <c r="A46" s="7">
        <v>45</v>
      </c>
      <c r="B46" s="16" t="s">
        <v>77</v>
      </c>
      <c r="C46" s="17">
        <v>6285955166733</v>
      </c>
      <c r="D46" s="18" t="s">
        <v>13</v>
      </c>
      <c r="E46" s="37" t="s">
        <v>75</v>
      </c>
      <c r="F46" s="20" t="s">
        <v>75</v>
      </c>
      <c r="G46" s="21">
        <v>6287851627778</v>
      </c>
      <c r="H46" s="19">
        <v>50000</v>
      </c>
      <c r="I46" s="18"/>
    </row>
    <row r="47" spans="1:12">
      <c r="A47" s="7">
        <v>46</v>
      </c>
      <c r="B47" s="16" t="s">
        <v>63</v>
      </c>
      <c r="C47" s="17">
        <v>6282129968287</v>
      </c>
      <c r="D47" s="18" t="s">
        <v>30</v>
      </c>
      <c r="E47" s="37" t="s">
        <v>38</v>
      </c>
      <c r="F47" s="20" t="s">
        <v>78</v>
      </c>
      <c r="G47" s="21">
        <v>6287851627778</v>
      </c>
      <c r="H47" s="19">
        <v>50000</v>
      </c>
      <c r="I47" s="18"/>
    </row>
    <row r="48" spans="1:12">
      <c r="A48" s="7">
        <v>47</v>
      </c>
      <c r="B48" s="16" t="s">
        <v>79</v>
      </c>
      <c r="C48" s="17">
        <v>6282279743633</v>
      </c>
      <c r="D48" s="18" t="s">
        <v>13</v>
      </c>
      <c r="E48" s="37" t="s">
        <v>80</v>
      </c>
      <c r="F48" s="20" t="s">
        <v>80</v>
      </c>
      <c r="G48" s="21">
        <v>6287851627778</v>
      </c>
      <c r="H48" s="19">
        <v>100000</v>
      </c>
      <c r="I48" s="18"/>
    </row>
    <row r="49" spans="1:10">
      <c r="A49" s="7">
        <v>48</v>
      </c>
      <c r="B49" s="16" t="s">
        <v>63</v>
      </c>
      <c r="C49" s="17">
        <v>6282129968287</v>
      </c>
      <c r="D49" s="18" t="s">
        <v>30</v>
      </c>
      <c r="E49" s="37" t="s">
        <v>38</v>
      </c>
      <c r="F49" s="20" t="s">
        <v>81</v>
      </c>
      <c r="G49" s="21">
        <v>6287851627778</v>
      </c>
      <c r="H49" s="19">
        <v>50000</v>
      </c>
      <c r="I49" s="18"/>
    </row>
    <row r="50" spans="1:10">
      <c r="A50" s="7">
        <v>49</v>
      </c>
      <c r="B50" s="16" t="s">
        <v>82</v>
      </c>
      <c r="C50" s="17">
        <v>6282315984480</v>
      </c>
      <c r="D50" s="18" t="s">
        <v>19</v>
      </c>
      <c r="E50" s="37" t="s">
        <v>83</v>
      </c>
      <c r="F50" s="20" t="s">
        <v>81</v>
      </c>
      <c r="G50" s="21">
        <v>6287851627778</v>
      </c>
      <c r="H50" s="19">
        <v>50000</v>
      </c>
      <c r="I50" s="18"/>
    </row>
    <row r="51" spans="1:10">
      <c r="A51" s="7">
        <v>50</v>
      </c>
      <c r="B51" s="16" t="s">
        <v>21</v>
      </c>
      <c r="C51" s="14">
        <v>628117672974</v>
      </c>
      <c r="D51" s="18" t="s">
        <v>15</v>
      </c>
      <c r="E51" s="37" t="s">
        <v>84</v>
      </c>
      <c r="F51" s="20" t="s">
        <v>81</v>
      </c>
      <c r="G51" s="21">
        <v>6287851627778</v>
      </c>
      <c r="H51" s="19">
        <v>100000</v>
      </c>
      <c r="I51" s="18"/>
    </row>
    <row r="52" spans="1:10">
      <c r="A52" s="16"/>
      <c r="B52" s="16"/>
      <c r="C52" s="17"/>
      <c r="D52" s="18"/>
      <c r="E52" s="37"/>
      <c r="F52" s="20"/>
      <c r="G52" s="21"/>
      <c r="H52" s="19"/>
      <c r="I52" s="18"/>
    </row>
    <row r="53" spans="1:10">
      <c r="A53" s="16"/>
      <c r="B53" s="16"/>
      <c r="C53" s="17"/>
      <c r="D53" s="18"/>
      <c r="E53" s="37"/>
      <c r="F53" s="20"/>
      <c r="G53" s="21"/>
      <c r="H53" s="19"/>
      <c r="I53" s="18"/>
    </row>
    <row r="54" spans="1:10">
      <c r="A54" s="16"/>
      <c r="B54" s="16"/>
      <c r="C54" s="17"/>
      <c r="D54" s="18"/>
      <c r="E54" s="37"/>
      <c r="F54" s="20"/>
      <c r="G54" s="21"/>
      <c r="H54" s="19"/>
      <c r="I54" s="18"/>
    </row>
    <row r="59" spans="1:10">
      <c r="J59" s="29"/>
    </row>
    <row r="60" spans="1:10">
      <c r="J60" s="25"/>
    </row>
  </sheetData>
  <mergeCells count="1">
    <mergeCell ref="R3:S3"/>
  </mergeCells>
  <phoneticPr fontId="4" type="noConversion"/>
  <conditionalFormatting sqref="C2:C4">
    <cfRule type="duplicateValues" dxfId="14" priority="10"/>
    <cfRule type="duplicateValues" dxfId="13" priority="11"/>
  </conditionalFormatting>
  <conditionalFormatting sqref="C7:C9">
    <cfRule type="duplicateValues" dxfId="12" priority="12"/>
  </conditionalFormatting>
  <conditionalFormatting sqref="C12">
    <cfRule type="duplicateValues" dxfId="11" priority="13"/>
    <cfRule type="duplicateValues" dxfId="10" priority="14"/>
  </conditionalFormatting>
  <conditionalFormatting sqref="C32">
    <cfRule type="duplicateValues" dxfId="9" priority="1"/>
    <cfRule type="duplicateValues" dxfId="8" priority="2"/>
  </conditionalFormatting>
  <conditionalFormatting sqref="C37">
    <cfRule type="duplicateValues" dxfId="7" priority="9"/>
  </conditionalFormatting>
  <conditionalFormatting sqref="C38">
    <cfRule type="duplicateValues" dxfId="6" priority="6"/>
    <cfRule type="duplicateValues" dxfId="5" priority="7"/>
    <cfRule type="duplicateValues" dxfId="4" priority="8"/>
  </conditionalFormatting>
  <conditionalFormatting sqref="C42">
    <cfRule type="duplicateValues" dxfId="3" priority="3"/>
    <cfRule type="duplicateValues" dxfId="2" priority="4"/>
    <cfRule type="duplicateValues" dxfId="1" priority="5"/>
  </conditionalFormatting>
  <dataValidations count="2">
    <dataValidation type="list" allowBlank="1" showInputMessage="1" showErrorMessage="1" sqref="D2:D54" xr:uid="{00000000-0002-0000-0000-000000000000}">
      <formula1>$J$5:$J$12</formula1>
    </dataValidation>
    <dataValidation type="list" allowBlank="1" showInputMessage="1" showErrorMessage="1" sqref="G2:G54" xr:uid="{00000000-0002-0000-0000-000001000000}">
      <formula1>$J$15:$J$16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24"/>
  <sheetViews>
    <sheetView topLeftCell="A17" workbookViewId="0">
      <selection activeCell="J26" sqref="J26"/>
    </sheetView>
  </sheetViews>
  <sheetFormatPr defaultColWidth="9" defaultRowHeight="15"/>
  <cols>
    <col min="1" max="1" width="12.42578125" customWidth="1"/>
    <col min="2" max="2" width="15.28515625" customWidth="1"/>
    <col min="3" max="3" width="10.85546875" customWidth="1"/>
    <col min="4" max="4" width="11.42578125" customWidth="1"/>
    <col min="5" max="5" width="10.85546875" customWidth="1"/>
    <col min="6" max="6" width="16.140625" customWidth="1"/>
    <col min="7" max="7" width="15.7109375" customWidth="1"/>
  </cols>
  <sheetData>
    <row r="3" spans="1:7">
      <c r="B3" s="31" t="s">
        <v>41</v>
      </c>
    </row>
    <row r="4" spans="1:7">
      <c r="B4">
        <v>6287851627778</v>
      </c>
      <c r="D4" t="s">
        <v>42</v>
      </c>
      <c r="F4" t="s">
        <v>43</v>
      </c>
      <c r="G4" t="s">
        <v>44</v>
      </c>
    </row>
    <row r="5" spans="1:7">
      <c r="A5" s="31" t="s">
        <v>45</v>
      </c>
      <c r="B5" t="s">
        <v>46</v>
      </c>
      <c r="C5" t="s">
        <v>47</v>
      </c>
      <c r="D5" t="s">
        <v>46</v>
      </c>
      <c r="E5" t="s">
        <v>47</v>
      </c>
    </row>
    <row r="6" spans="1:7">
      <c r="A6" s="1" t="s">
        <v>16</v>
      </c>
      <c r="B6" s="2">
        <v>100000</v>
      </c>
      <c r="C6">
        <v>1</v>
      </c>
      <c r="F6" s="2">
        <v>100000</v>
      </c>
      <c r="G6">
        <v>1</v>
      </c>
    </row>
    <row r="7" spans="1:7">
      <c r="A7" s="1" t="s">
        <v>22</v>
      </c>
      <c r="B7" s="2">
        <v>350000</v>
      </c>
      <c r="C7">
        <v>4</v>
      </c>
      <c r="F7" s="2">
        <v>350000</v>
      </c>
      <c r="G7">
        <v>4</v>
      </c>
    </row>
    <row r="8" spans="1:7">
      <c r="A8" s="1" t="s">
        <v>11</v>
      </c>
      <c r="B8" s="2">
        <v>150000</v>
      </c>
      <c r="C8">
        <v>2</v>
      </c>
      <c r="F8" s="2">
        <v>150000</v>
      </c>
      <c r="G8">
        <v>2</v>
      </c>
    </row>
    <row r="9" spans="1:7">
      <c r="A9" s="1" t="s">
        <v>18</v>
      </c>
      <c r="B9" s="2">
        <v>150000</v>
      </c>
      <c r="C9">
        <v>2</v>
      </c>
      <c r="F9" s="2">
        <v>150000</v>
      </c>
      <c r="G9">
        <v>2</v>
      </c>
    </row>
    <row r="10" spans="1:7">
      <c r="A10" s="1" t="s">
        <v>23</v>
      </c>
      <c r="B10" s="2">
        <v>100000</v>
      </c>
      <c r="C10">
        <v>1</v>
      </c>
      <c r="F10" s="2">
        <v>100000</v>
      </c>
      <c r="G10">
        <v>1</v>
      </c>
    </row>
    <row r="11" spans="1:7">
      <c r="A11" s="1" t="s">
        <v>27</v>
      </c>
      <c r="B11" s="2">
        <v>395000</v>
      </c>
      <c r="C11">
        <v>6</v>
      </c>
      <c r="F11" s="2">
        <v>395000</v>
      </c>
      <c r="G11">
        <v>6</v>
      </c>
    </row>
    <row r="12" spans="1:7">
      <c r="A12" s="1" t="s">
        <v>42</v>
      </c>
      <c r="B12" s="2"/>
      <c r="F12" s="2"/>
    </row>
    <row r="13" spans="1:7">
      <c r="A13" s="1" t="s">
        <v>38</v>
      </c>
      <c r="B13" s="2">
        <v>450000</v>
      </c>
      <c r="C13">
        <v>8</v>
      </c>
      <c r="F13" s="2">
        <v>450000</v>
      </c>
      <c r="G13">
        <v>8</v>
      </c>
    </row>
    <row r="14" spans="1:7">
      <c r="A14" s="32">
        <v>45699</v>
      </c>
      <c r="B14" s="2">
        <v>250000</v>
      </c>
      <c r="C14">
        <v>3</v>
      </c>
      <c r="F14" s="2">
        <v>250000</v>
      </c>
      <c r="G14">
        <v>3</v>
      </c>
    </row>
    <row r="15" spans="1:7">
      <c r="A15" s="32">
        <v>45727</v>
      </c>
      <c r="B15" s="2">
        <v>200000</v>
      </c>
      <c r="C15">
        <v>3</v>
      </c>
      <c r="F15" s="2">
        <v>200000</v>
      </c>
      <c r="G15">
        <v>3</v>
      </c>
    </row>
    <row r="16" spans="1:7">
      <c r="A16" s="1" t="s">
        <v>56</v>
      </c>
      <c r="B16" s="2">
        <v>200000</v>
      </c>
      <c r="C16">
        <v>2</v>
      </c>
      <c r="F16" s="2">
        <v>200000</v>
      </c>
      <c r="G16">
        <v>2</v>
      </c>
    </row>
    <row r="17" spans="1:7">
      <c r="A17" s="32">
        <v>45849</v>
      </c>
      <c r="B17" s="2">
        <v>400000</v>
      </c>
      <c r="C17">
        <v>5</v>
      </c>
      <c r="F17" s="2">
        <v>400000</v>
      </c>
      <c r="G17">
        <v>5</v>
      </c>
    </row>
    <row r="18" spans="1:7">
      <c r="A18" s="32">
        <v>45911</v>
      </c>
      <c r="B18" s="2">
        <v>50000</v>
      </c>
      <c r="C18">
        <v>1</v>
      </c>
      <c r="F18" s="2">
        <v>50000</v>
      </c>
      <c r="G18">
        <v>1</v>
      </c>
    </row>
    <row r="19" spans="1:7">
      <c r="A19" s="1" t="s">
        <v>67</v>
      </c>
      <c r="B19" s="2">
        <v>825000</v>
      </c>
      <c r="C19">
        <v>6</v>
      </c>
      <c r="F19" s="2">
        <v>825000</v>
      </c>
      <c r="G19">
        <v>6</v>
      </c>
    </row>
    <row r="20" spans="1:7">
      <c r="A20" s="1" t="s">
        <v>75</v>
      </c>
      <c r="B20" s="2">
        <v>150000</v>
      </c>
      <c r="C20">
        <v>3</v>
      </c>
      <c r="F20" s="2">
        <v>150000</v>
      </c>
      <c r="G20">
        <v>3</v>
      </c>
    </row>
    <row r="21" spans="1:7">
      <c r="A21" s="1" t="s">
        <v>80</v>
      </c>
      <c r="B21" s="2">
        <v>100000</v>
      </c>
      <c r="C21">
        <v>1</v>
      </c>
      <c r="F21" s="2">
        <v>100000</v>
      </c>
      <c r="G21">
        <v>1</v>
      </c>
    </row>
    <row r="22" spans="1:7">
      <c r="A22" s="1" t="s">
        <v>83</v>
      </c>
      <c r="B22" s="2">
        <v>50000</v>
      </c>
      <c r="C22">
        <v>1</v>
      </c>
      <c r="F22" s="2">
        <v>50000</v>
      </c>
      <c r="G22">
        <v>1</v>
      </c>
    </row>
    <row r="23" spans="1:7">
      <c r="A23" s="1" t="s">
        <v>84</v>
      </c>
      <c r="B23" s="2">
        <v>100000</v>
      </c>
      <c r="C23">
        <v>1</v>
      </c>
      <c r="F23" s="2">
        <v>100000</v>
      </c>
      <c r="G23">
        <v>1</v>
      </c>
    </row>
    <row r="24" spans="1:7">
      <c r="A24" s="1" t="s">
        <v>48</v>
      </c>
      <c r="B24" s="2">
        <v>4020000</v>
      </c>
      <c r="C24">
        <v>50</v>
      </c>
      <c r="F24" s="2">
        <v>4020000</v>
      </c>
      <c r="G2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Rekap_himpunan</vt:lpstr>
      <vt:lpstr>TOTAL REKAP HIMPUNAN 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indonesia</dc:creator>
  <cp:lastModifiedBy>faruq izah al afghani</cp:lastModifiedBy>
  <dcterms:created xsi:type="dcterms:W3CDTF">2025-10-27T03:11:00Z</dcterms:created>
  <dcterms:modified xsi:type="dcterms:W3CDTF">2025-12-19T11:51:15Z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F2FF7E359BAE4E429A9CBD36E688CD00_12</vt:lpwstr>
  </property>
  <property fmtid="{D5CDD505-2E9C-101B-9397-08002B2CF9AE}" pid="3" name="KSOProductBuildVer">
    <vt:lpwstr>1033-12.2.0.23131</vt:lpwstr>
  </property>
</Properties>
</file>