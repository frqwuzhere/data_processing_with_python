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cuments\TEMANBAIK.ID\DATA 1097\"/>
    </mc:Choice>
  </mc:AlternateContent>
  <xr:revisionPtr revIDLastSave="0" documentId="13_ncr:1_{801FDD30-7203-44FC-BC32-E10837421695}" xr6:coauthVersionLast="47" xr6:coauthVersionMax="47" xr10:uidLastSave="{00000000-0000-0000-0000-000000000000}"/>
  <bookViews>
    <workbookView xWindow="10550" yWindow="0" windowWidth="8520" windowHeight="10170" xr2:uid="{C9D7B158-8974-430B-A8EA-F6A2BA711A9B}"/>
  </bookViews>
  <sheets>
    <sheet name="Rekap_himpunan" sheetId="1" r:id="rId1"/>
    <sheet name="Total Pertanggal" sheetId="2" r:id="rId2"/>
  </sheets>
  <definedNames>
    <definedName name="_xlnm._FilterDatabase" localSheetId="0" hidden="1">#REF!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<sst xmlns="http://schemas.openxmlformats.org/spreadsheetml/2006/main" count="65" uniqueCount="42">
  <si>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</si>
  <si>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</si>
  <si>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</si>
  <si>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</si>
  <si>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</si>
  <si>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</si>
  <si>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</si>
  <si>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</si>
  <si>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</si>
  <si>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BNI (CS) 5005003227</t>
  </si>
  <si>
    <t xml:space="preserve">Mandiri (CS) 1410029052222 </t>
  </si>
  <si>
    <t>BRI (CS) 115901000648567</t>
  </si>
  <si>
    <t>Mandiri (Ads) 1410000665448</t>
  </si>
  <si>
    <t xml:space="preserve">MANDIRI </t>
  </si>
  <si>
    <t>BSI (CS) 7316126698</t>
  </si>
  <si>
    <t>BNI (Ads) 3003003257</t>
  </si>
  <si>
    <t xml:space="preserve">BSI (Ads) 7772526274 </t>
  </si>
  <si>
    <t xml:space="preserve">BNI </t>
  </si>
  <si>
    <t>BNI (Ads(3003003257</t>
  </si>
  <si>
    <t>BRI (Ads) 115901000647561</t>
  </si>
  <si>
    <t>BSI</t>
  </si>
  <si>
    <t>BRI</t>
  </si>
  <si>
    <t>Umi Widiyastuti</t>
  </si>
  <si>
    <t>Hastuty</t>
  </si>
  <si>
    <t>Shodik</t>
  </si>
  <si>
    <t xml:space="preserve"> M Artoni</t>
  </si>
  <si>
    <t>Row Labels</t>
  </si>
  <si>
    <t>(blank)</t>
  </si>
  <si>
    <t>Grand Total</t>
  </si>
  <si>
    <t>Column Labels</t>
  </si>
  <si>
    <t>Sum of Total</t>
  </si>
  <si>
    <t>Total Sum of Total</t>
  </si>
  <si>
    <t>Total Count of No</t>
  </si>
  <si>
    <t>Count of No</t>
  </si>
  <si>
    <t>Nida Rafikah</t>
  </si>
  <si>
    <t>Rita Ratna Juwita</t>
  </si>
  <si>
    <t>Siti Supartini</t>
  </si>
  <si>
    <t>Restu Kanti</t>
  </si>
  <si>
    <t>Arian</t>
  </si>
  <si>
    <t>Muh Arief HC</t>
  </si>
  <si>
    <t>Sri Nuryati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</si>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</sst>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14" fontId="0" fillId="0" borderId="0" xfId="0" applyNumberFormat="1"/>
    <xf numFmtId="42" fontId="0" fillId="0" borderId="0" xfId="1" applyFont="1" applyFill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0" fontId="0" fillId="0" borderId="0" xfId="0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42" fontId="0" fillId="0" borderId="2" xfId="1" applyFont="1" applyFill="1" applyBorder="1"/>
    <xf numFmtId="14" fontId="0" fillId="0" borderId="2" xfId="0" applyNumberFormat="1" applyBorder="1" applyAlignment="1">
      <alignment horizontal="center"/>
    </xf>
    <xf numFmtId="42" fontId="0" fillId="0" borderId="0" xfId="0" applyNumberFormat="1" applyAlignment="1">
      <alignment horizontal="left"/>
    </xf>
    <xf numFmtId="42" fontId="0" fillId="0" borderId="0" xfId="1" applyFont="1"/>
    <xf numFmtId="1" fontId="0" fillId="0" borderId="0" xfId="0" applyNumberFormat="1" applyAlignment="1">
      <alignment horizontal="center" vertical="center"/>
    </xf>
    <xf numFmtId="42" fontId="0" fillId="0" borderId="0" xfId="0" applyNumberFormat="1"/>
    <xf numFmtId="42" fontId="0" fillId="0" borderId="0" xfId="1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numFmt numFmtId="164" formatCode="&quot;Rp&quot;#,##0"/>
    </dxf>
    <dxf>
      <numFmt numFmtId="164" formatCode="&quot;Rp&quot;#,##0"/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54.614429745372" createdVersion="8" refreshedVersion="8" minRefreshableVersion="3" recordCount="16" xr:uid="{79F83F8F-1482-4E80-9996-75FDBF614DC9}">
  <cacheSource type="worksheet">
    <worksheetSource ref="A1:H32" sheet="Rekap_himpunan"/>
  </cacheSource>
  <cacheFields count="8">
    <cacheField name="No" numFmtId="0">
      <sharedItems containsString="0" containsBlank="1" containsNumber="1" containsInteger="1" minValue="1" maxValue="12"/>
    </cacheField>
    <cacheField name="Donatur" numFmtId="0">
      <sharedItems containsBlank="1"/>
    </cacheField>
    <cacheField name="Whatsapp" numFmtId="1">
      <sharedItems containsString="0" containsBlank="1" containsNumber="1" containsInteger="1" minValue="6281294933661" maxValue="6287863064459"/>
    </cacheField>
    <cacheField name="Payment Account" numFmtId="0">
      <sharedItems containsBlank="1"/>
    </cacheField>
    <cacheField name="Date Blast" numFmtId="0">
      <sharedItems containsNonDate="0" containsDate="1" containsString="0" containsBlank="1" minDate="2025-09-17T00:00:00" maxDate="2025-10-25T00:00:00" count="9">
        <d v="2025-09-17T00:00:00"/>
        <d v="2025-09-27T00:00:00"/>
        <d v="2025-09-26T00:00:00"/>
        <d v="2025-09-29T00:00:00"/>
        <d v="2025-10-10T00:00:00"/>
        <d v="2025-10-07T00:00:00"/>
        <d v="2025-10-17T00:00:00"/>
        <d v="2025-10-24T00:00:00"/>
        <m/>
      </sharedItems>
    </cacheField>
    <cacheField name="Date" numFmtId="14">
      <sharedItems containsNonDate="0" containsDate="1" containsString="0" containsBlank="1" minDate="2025-09-26T00:00:00" maxDate="2025-10-25T00:00:00"/>
    </cacheField>
    <cacheField name="Nomor CS" numFmtId="1">
      <sharedItems containsString="0" containsBlank="1" containsNumber="1" containsInteger="1" minValue="6285119990038" maxValue="6285119990038" count="2">
        <n v="6285119990038"/>
        <m/>
      </sharedItems>
    </cacheField>
    <cacheField name="Total" numFmtId="42">
      <sharedItems containsString="0" containsBlank="1" containsNumber="1" containsInteger="1" minValue="5000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s v="Umi Widiyastuti"/>
    <n v="6281298890944"/>
    <s v="Mandiri (CS) 1410029052222 "/>
    <x v="0"/>
    <d v="2025-09-26T00:00:00"/>
    <x v="0"/>
    <n v="250000"/>
  </r>
  <r>
    <n v="2"/>
    <s v="Hastuty"/>
    <n v="6285392106050"/>
    <s v="BRI (CS) 115901000648567"/>
    <x v="1"/>
    <d v="2025-09-27T00:00:00"/>
    <x v="0"/>
    <n v="50000"/>
  </r>
  <r>
    <n v="3"/>
    <s v="Shodik"/>
    <n v="6285331325199"/>
    <s v="Mandiri (CS) 1410029052222 "/>
    <x v="2"/>
    <d v="2025-09-27T00:00:00"/>
    <x v="0"/>
    <n v="200000"/>
  </r>
  <r>
    <n v="4"/>
    <s v=" M Artoni"/>
    <n v="6285390416000"/>
    <s v="BRI (CS) 115901000648567"/>
    <x v="2"/>
    <d v="2025-09-27T00:00:00"/>
    <x v="0"/>
    <n v="105000"/>
  </r>
  <r>
    <n v="5"/>
    <s v="Nida Rafikah"/>
    <n v="6285386797637"/>
    <s v="Mandiri (CS) 1410029052222 "/>
    <x v="2"/>
    <d v="2025-09-29T00:00:00"/>
    <x v="0"/>
    <n v="100000"/>
  </r>
  <r>
    <n v="6"/>
    <s v="Rita Ratna Juwita"/>
    <n v="6285260961893"/>
    <s v="BSI (CS) 7316126698"/>
    <x v="3"/>
    <d v="2025-09-29T00:00:00"/>
    <x v="0"/>
    <n v="50000"/>
  </r>
  <r>
    <n v="7"/>
    <s v="Siti Supartini"/>
    <n v="6285264912766"/>
    <s v="Mandiri (CS) 1410029052222 "/>
    <x v="4"/>
    <d v="2025-10-10T00:00:00"/>
    <x v="0"/>
    <n v="50000"/>
  </r>
  <r>
    <n v="8"/>
    <s v="Arian"/>
    <n v="6287863064459"/>
    <s v="BNI (CS) 5005003227"/>
    <x v="4"/>
    <d v="2025-10-10T00:00:00"/>
    <x v="0"/>
    <n v="50000"/>
  </r>
  <r>
    <n v="9"/>
    <s v="Restu Kanti"/>
    <n v="6281294933661"/>
    <s v="BSI (CS) 7316126698"/>
    <x v="5"/>
    <d v="2025-10-10T00:00:00"/>
    <x v="0"/>
    <n v="50000"/>
  </r>
  <r>
    <n v="10"/>
    <s v="Muh Arief HC"/>
    <n v="6281312121711"/>
    <s v="BNI (CS) 5005003227"/>
    <x v="6"/>
    <d v="2025-10-17T00:00:00"/>
    <x v="0"/>
    <n v="100000"/>
  </r>
  <r>
    <n v="11"/>
    <s v="Sri Nuryati"/>
    <n v="6281299160699"/>
    <s v="BSI (CS) 7316126698"/>
    <x v="7"/>
    <d v="2025-10-24T00:00:00"/>
    <x v="0"/>
    <n v="100000"/>
  </r>
  <r>
    <n v="12"/>
    <s v="Restu Kanti"/>
    <n v="6281294933661"/>
    <s v="BSI (CS) 7316126698"/>
    <x v="7"/>
    <d v="2025-10-24T00:00:00"/>
    <x v="0"/>
    <n v="50000"/>
  </r>
  <r>
    <m/>
    <m/>
    <m/>
    <m/>
    <x v="8"/>
    <m/>
    <x v="1"/>
    <m/>
  </r>
  <r>
    <m/>
    <m/>
    <m/>
    <m/>
    <x v="8"/>
    <m/>
    <x v="1"/>
    <m/>
  </r>
  <r>
    <m/>
    <m/>
    <m/>
    <m/>
    <x v="8"/>
    <m/>
    <x v="1"/>
    <m/>
  </r>
  <r>
    <m/>
    <m/>
    <m/>
    <m/>
    <x v="8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17256-C6D7-4F6A-BEEF-D8CF5DBE3B2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3" firstDataCol="1"/>
  <pivotFields count="8">
    <pivotField dataField="1" showAll="0"/>
    <pivotField showAll="0"/>
    <pivotField showAll="0"/>
    <pivotField showAll="0"/>
    <pivotField axis="axisRow" showAll="0">
      <items count="10">
        <item x="0"/>
        <item x="2"/>
        <item x="1"/>
        <item x="8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4" baseItem="0"/>
    <dataField name="Count of No" fld="0" subtotal="count" baseField="4" baseItem="0"/>
  </dataFields>
  <formats count="3">
    <format dxfId="3">
      <pivotArea dataOnly="0" labelOnly="1" fieldPosition="0">
        <references count="1">
          <reference field="6" count="1">
            <x v="0"/>
          </reference>
        </references>
      </pivotArea>
    </format>
    <format dxfId="2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1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F4376-BCAF-41B6-80E4-75A22222A5B1}" name="Table2" displayName="Table2" ref="A1:I13" totalsRowShown="0">
  <autoFilter ref="A1:I13" xr:uid="{25625092-F70D-40D9-B38A-D8820FE54B33}"/>
  <tableColumns count="9">
    <tableColumn id="1" xr3:uid="{175BAB3C-75CE-4CCD-A91A-91BA5C845895}" name="No" dataDxfId="12"/>
    <tableColumn id="2" xr3:uid="{C9F55C8D-8EF4-4BDB-8302-8AFC983066C7}" name="Donatur" dataDxfId="11"/>
    <tableColumn id="3" xr3:uid="{0D1CD737-2074-442A-B6F1-A89A15E8001E}" name="Whatsapp" dataDxfId="10"/>
    <tableColumn id="4" xr3:uid="{8929F97A-B7C3-4D6C-8F76-AE88931AE311}" name="Payment Account" dataDxfId="9"/>
    <tableColumn id="9" xr3:uid="{953DCD28-1531-4AF9-A4BA-B7A7D9377D8D}" name="Date Blast" dataDxfId="8"/>
    <tableColumn id="5" xr3:uid="{DA93F624-D604-4482-A893-D236F07ECF48}" name="Date" dataDxfId="7"/>
    <tableColumn id="6" xr3:uid="{4CAE9A75-8A3E-4C82-8D2D-5F27577B4393}" name="Nomor CS" dataDxfId="6"/>
    <tableColumn id="7" xr3:uid="{8680B41F-F67F-4A23-8931-F147224B8875}" name="Total" dataDxfId="5" dataCellStyle="Currency [0]"/>
    <tableColumn id="10" xr3:uid="{3B7415F0-DC90-405D-B2D3-4150024AF0AC}" name="Column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7108-ABCA-477F-8ADE-C2E8C2C3FE0F}">
  <dimension ref="A1:S60"/>
  <sheetViews>
    <sheetView tabSelected="1" topLeftCell="C4" zoomScale="107" zoomScaleNormal="100" workbookViewId="0">
      <selection activeCell="D16" sqref="D16"/>
    </sheetView>
  </sheetViews>
  <sheetFormatPr defaultRowHeight="14.5" x14ac:dyDescent="0.35"/>
  <cols>
    <col min="1" max="1" width="5.54296875" customWidth="1"/>
    <col min="2" max="2" width="39" customWidth="1"/>
    <col min="3" max="3" width="16.1796875" style="1" bestFit="1" customWidth="1"/>
    <col min="4" max="4" width="25.36328125" bestFit="1" customWidth="1"/>
    <col min="5" max="5" width="11.6328125" bestFit="1" customWidth="1"/>
    <col min="6" max="6" width="10.453125" style="2" bestFit="1" customWidth="1"/>
    <col min="7" max="7" width="13.90625" style="1" bestFit="1" customWidth="1"/>
    <col min="8" max="8" width="12.7265625" style="17" customWidth="1"/>
    <col min="9" max="9" width="11.1796875" hidden="1" customWidth="1"/>
    <col min="10" max="10" width="31" bestFit="1" customWidth="1"/>
    <col min="11" max="11" width="27.81640625" bestFit="1" customWidth="1"/>
    <col min="12" max="12" width="13.81640625" customWidth="1"/>
  </cols>
  <sheetData>
    <row r="1" spans="1:19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1" t="s">
        <v>6</v>
      </c>
      <c r="H1" s="3" t="s">
        <v>7</v>
      </c>
      <c r="I1" t="s">
        <v>8</v>
      </c>
    </row>
    <row r="2" spans="1:19" x14ac:dyDescent="0.35">
      <c r="A2" s="4">
        <v>1</v>
      </c>
      <c r="B2" s="4" t="s">
        <v>22</v>
      </c>
      <c r="C2" s="5">
        <v>6281298890944</v>
      </c>
      <c r="D2" s="6" t="s">
        <v>10</v>
      </c>
      <c r="E2" s="7">
        <v>45917</v>
      </c>
      <c r="F2" s="7">
        <v>45926</v>
      </c>
      <c r="G2" s="8">
        <v>6285119990038</v>
      </c>
      <c r="H2" s="9">
        <v>250000</v>
      </c>
      <c r="I2" s="6"/>
    </row>
    <row r="3" spans="1:19" x14ac:dyDescent="0.35">
      <c r="A3" s="4">
        <v>2</v>
      </c>
      <c r="B3" s="4" t="s">
        <v>23</v>
      </c>
      <c r="C3" s="5">
        <v>6285392106050</v>
      </c>
      <c r="D3" s="6" t="s">
        <v>11</v>
      </c>
      <c r="E3" s="7">
        <v>45927</v>
      </c>
      <c r="F3" s="7">
        <v>45927</v>
      </c>
      <c r="G3" s="8">
        <v>6285119990038</v>
      </c>
      <c r="H3" s="9">
        <v>50000</v>
      </c>
      <c r="I3" s="6"/>
      <c r="R3" s="24"/>
      <c r="S3" s="24"/>
    </row>
    <row r="4" spans="1:19" x14ac:dyDescent="0.35">
      <c r="A4" s="4">
        <v>3</v>
      </c>
      <c r="B4" s="11" t="s">
        <v>24</v>
      </c>
      <c r="C4" s="12">
        <v>6285331325199</v>
      </c>
      <c r="D4" s="13" t="s">
        <v>10</v>
      </c>
      <c r="E4" s="7">
        <v>45926</v>
      </c>
      <c r="F4" s="7">
        <v>45927</v>
      </c>
      <c r="G4" s="8">
        <v>6285119990038</v>
      </c>
      <c r="H4" s="14">
        <v>200000</v>
      </c>
      <c r="I4" s="13"/>
    </row>
    <row r="5" spans="1:19" x14ac:dyDescent="0.35">
      <c r="A5" s="4">
        <v>4</v>
      </c>
      <c r="B5" s="11" t="s">
        <v>25</v>
      </c>
      <c r="C5" s="12">
        <v>6285390416000</v>
      </c>
      <c r="D5" s="13" t="s">
        <v>11</v>
      </c>
      <c r="E5" s="7">
        <v>45926</v>
      </c>
      <c r="F5" s="7">
        <v>45927</v>
      </c>
      <c r="G5" s="8">
        <v>6285119990038</v>
      </c>
      <c r="H5" s="14">
        <v>105000</v>
      </c>
      <c r="I5" s="13"/>
      <c r="J5" t="s">
        <v>12</v>
      </c>
      <c r="K5" s="10" t="s">
        <v>13</v>
      </c>
    </row>
    <row r="6" spans="1:19" x14ac:dyDescent="0.35">
      <c r="A6" s="4">
        <v>5</v>
      </c>
      <c r="B6" s="11" t="s">
        <v>34</v>
      </c>
      <c r="C6" s="12">
        <v>6285386797637</v>
      </c>
      <c r="D6" s="13" t="s">
        <v>10</v>
      </c>
      <c r="E6" s="7">
        <v>45926</v>
      </c>
      <c r="F6" s="15">
        <v>45929</v>
      </c>
      <c r="G6" s="8">
        <v>6285119990038</v>
      </c>
      <c r="H6" s="14">
        <v>100000</v>
      </c>
      <c r="I6" s="13"/>
      <c r="J6" t="s">
        <v>10</v>
      </c>
      <c r="K6" s="10" t="s">
        <v>12</v>
      </c>
    </row>
    <row r="7" spans="1:19" x14ac:dyDescent="0.35">
      <c r="A7" s="4">
        <v>6</v>
      </c>
      <c r="B7" s="11" t="s">
        <v>35</v>
      </c>
      <c r="C7" s="12">
        <v>6285260961893</v>
      </c>
      <c r="D7" s="13" t="s">
        <v>14</v>
      </c>
      <c r="E7" s="15">
        <v>45929</v>
      </c>
      <c r="F7" s="15">
        <v>45929</v>
      </c>
      <c r="G7" s="8">
        <v>6285119990038</v>
      </c>
      <c r="H7" s="14">
        <v>50000</v>
      </c>
      <c r="I7" s="13"/>
      <c r="J7" t="s">
        <v>15</v>
      </c>
      <c r="K7" s="10" t="s">
        <v>10</v>
      </c>
    </row>
    <row r="8" spans="1:19" x14ac:dyDescent="0.35">
      <c r="A8" s="4">
        <v>7</v>
      </c>
      <c r="B8" s="11" t="s">
        <v>36</v>
      </c>
      <c r="C8" s="12">
        <v>6285264912766</v>
      </c>
      <c r="D8" s="13" t="s">
        <v>10</v>
      </c>
      <c r="E8" s="15">
        <v>45940</v>
      </c>
      <c r="F8" s="15">
        <v>45940</v>
      </c>
      <c r="G8" s="8">
        <v>6285119990038</v>
      </c>
      <c r="H8" s="14">
        <v>50000</v>
      </c>
      <c r="I8" s="13"/>
      <c r="J8" t="s">
        <v>9</v>
      </c>
      <c r="K8" s="10"/>
    </row>
    <row r="9" spans="1:19" x14ac:dyDescent="0.35">
      <c r="A9" s="4">
        <v>8</v>
      </c>
      <c r="B9" s="4" t="s">
        <v>38</v>
      </c>
      <c r="C9" s="5">
        <v>6287863064459</v>
      </c>
      <c r="D9" s="6" t="s">
        <v>9</v>
      </c>
      <c r="E9" s="15">
        <v>45940</v>
      </c>
      <c r="F9" s="15">
        <v>45940</v>
      </c>
      <c r="G9" s="8">
        <v>6285119990038</v>
      </c>
      <c r="H9" s="9">
        <v>50000</v>
      </c>
      <c r="I9" s="6"/>
      <c r="J9" t="s">
        <v>16</v>
      </c>
      <c r="K9" s="10" t="s">
        <v>17</v>
      </c>
    </row>
    <row r="10" spans="1:19" x14ac:dyDescent="0.35">
      <c r="A10" s="4">
        <v>9</v>
      </c>
      <c r="B10" s="11" t="s">
        <v>37</v>
      </c>
      <c r="C10" s="12">
        <v>6281294933661</v>
      </c>
      <c r="D10" s="13" t="s">
        <v>14</v>
      </c>
      <c r="E10" s="15">
        <v>45937</v>
      </c>
      <c r="F10" s="15">
        <v>45940</v>
      </c>
      <c r="G10" s="8">
        <v>6285119990038</v>
      </c>
      <c r="H10" s="14">
        <v>50000</v>
      </c>
      <c r="I10" s="13"/>
      <c r="J10" t="s">
        <v>14</v>
      </c>
      <c r="K10" s="10" t="s">
        <v>18</v>
      </c>
    </row>
    <row r="11" spans="1:19" x14ac:dyDescent="0.35">
      <c r="A11" s="4">
        <v>10</v>
      </c>
      <c r="B11" s="4" t="s">
        <v>39</v>
      </c>
      <c r="C11" s="5">
        <v>6281312121711</v>
      </c>
      <c r="D11" s="6" t="s">
        <v>9</v>
      </c>
      <c r="E11" s="15">
        <v>45947</v>
      </c>
      <c r="F11" s="15">
        <v>45947</v>
      </c>
      <c r="G11" s="8">
        <v>6285119990038</v>
      </c>
      <c r="H11" s="14">
        <v>100000</v>
      </c>
      <c r="I11" s="6"/>
      <c r="J11" t="s">
        <v>19</v>
      </c>
      <c r="K11" s="10" t="s">
        <v>9</v>
      </c>
    </row>
    <row r="12" spans="1:19" x14ac:dyDescent="0.35">
      <c r="A12" s="4">
        <v>11</v>
      </c>
      <c r="B12" s="11" t="s">
        <v>40</v>
      </c>
      <c r="C12" s="12">
        <v>6281299160699</v>
      </c>
      <c r="D12" s="13" t="s">
        <v>14</v>
      </c>
      <c r="E12" s="15">
        <v>45954</v>
      </c>
      <c r="F12" s="15">
        <v>45954</v>
      </c>
      <c r="G12" s="8">
        <v>6285119990038</v>
      </c>
      <c r="H12" s="14">
        <v>100000</v>
      </c>
      <c r="I12" s="13"/>
      <c r="J12" t="s">
        <v>11</v>
      </c>
      <c r="K12" s="16"/>
    </row>
    <row r="13" spans="1:19" x14ac:dyDescent="0.35">
      <c r="A13" s="4">
        <v>12</v>
      </c>
      <c r="B13" s="11" t="s">
        <v>37</v>
      </c>
      <c r="C13" s="12">
        <v>6281294933661</v>
      </c>
      <c r="D13" s="13" t="s">
        <v>14</v>
      </c>
      <c r="E13" s="15">
        <v>45954</v>
      </c>
      <c r="F13" s="15">
        <v>45954</v>
      </c>
      <c r="G13" s="8">
        <v>6285119990038</v>
      </c>
      <c r="H13" s="14">
        <v>50000</v>
      </c>
      <c r="I13" s="13"/>
      <c r="K13" s="10" t="s">
        <v>20</v>
      </c>
    </row>
    <row r="14" spans="1:19" x14ac:dyDescent="0.35">
      <c r="K14" s="10" t="s">
        <v>16</v>
      </c>
    </row>
    <row r="15" spans="1:19" x14ac:dyDescent="0.35">
      <c r="J15" s="18">
        <v>6287851627778</v>
      </c>
      <c r="K15" s="10" t="s">
        <v>14</v>
      </c>
    </row>
    <row r="16" spans="1:19" x14ac:dyDescent="0.35">
      <c r="J16" s="18">
        <v>6285119990038</v>
      </c>
      <c r="K16" s="16"/>
    </row>
    <row r="17" spans="11:11" x14ac:dyDescent="0.35">
      <c r="K17" s="10" t="s">
        <v>21</v>
      </c>
    </row>
    <row r="18" spans="11:11" x14ac:dyDescent="0.35">
      <c r="K18" s="10" t="s">
        <v>19</v>
      </c>
    </row>
    <row r="19" spans="11:11" x14ac:dyDescent="0.35">
      <c r="K19" s="10" t="s">
        <v>11</v>
      </c>
    </row>
    <row r="39" spans="10:12" x14ac:dyDescent="0.35">
      <c r="J39" s="19"/>
    </row>
    <row r="42" spans="10:12" x14ac:dyDescent="0.35">
      <c r="L42" s="19"/>
    </row>
    <row r="59" spans="10:10" x14ac:dyDescent="0.35">
      <c r="J59" s="20"/>
    </row>
    <row r="60" spans="10:10" x14ac:dyDescent="0.35">
      <c r="J60" s="19"/>
    </row>
  </sheetData>
  <mergeCells count="1">
    <mergeCell ref="R3:S3"/>
  </mergeCells>
  <conditionalFormatting sqref="C1:C1048576">
    <cfRule type="duplicateValues" dxfId="0" priority="2"/>
  </conditionalFormatting>
  <dataValidations count="2">
    <dataValidation type="list" allowBlank="1" showInputMessage="1" showErrorMessage="1" sqref="D2:D13" xr:uid="{CFC3CBD6-CFF8-4D2A-97E6-579375868938}">
      <formula1>$J$5:$J$12</formula1>
    </dataValidation>
    <dataValidation type="list" allowBlank="1" showInputMessage="1" showErrorMessage="1" sqref="G2:G13" xr:uid="{7D203FFF-E20E-4DEA-AA15-DFF513B76C2F}">
      <formula1>$J$15:$J$16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32F-CF06-425E-9431-03907DC663CB}">
  <dimension ref="A3:I15"/>
  <sheetViews>
    <sheetView topLeftCell="E4" workbookViewId="0">
      <selection activeCell="H9" sqref="H9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0.90625" bestFit="1" customWidth="1"/>
    <col min="4" max="4" width="11.36328125" bestFit="1" customWidth="1"/>
    <col min="5" max="5" width="10.90625" bestFit="1" customWidth="1"/>
    <col min="6" max="6" width="16.1796875" bestFit="1" customWidth="1"/>
    <col min="7" max="7" width="15.7265625" bestFit="1" customWidth="1"/>
    <col min="8" max="8" width="11.08984375" bestFit="1" customWidth="1"/>
  </cols>
  <sheetData>
    <row r="3" spans="1:9" x14ac:dyDescent="0.35">
      <c r="B3" s="21" t="s">
        <v>29</v>
      </c>
    </row>
    <row r="4" spans="1:9" x14ac:dyDescent="0.35">
      <c r="B4" s="1">
        <v>6285119990038</v>
      </c>
      <c r="C4" s="1"/>
      <c r="D4" t="s">
        <v>27</v>
      </c>
      <c r="F4" t="s">
        <v>31</v>
      </c>
      <c r="G4" t="s">
        <v>32</v>
      </c>
    </row>
    <row r="5" spans="1:9" x14ac:dyDescent="0.35">
      <c r="A5" s="21" t="s">
        <v>26</v>
      </c>
      <c r="B5" t="s">
        <v>30</v>
      </c>
      <c r="C5" t="s">
        <v>33</v>
      </c>
      <c r="D5" t="s">
        <v>30</v>
      </c>
      <c r="E5" t="s">
        <v>33</v>
      </c>
    </row>
    <row r="6" spans="1:9" x14ac:dyDescent="0.35">
      <c r="A6" s="22">
        <v>45917</v>
      </c>
      <c r="B6" s="23">
        <v>250000</v>
      </c>
      <c r="C6">
        <v>1</v>
      </c>
      <c r="F6" s="23">
        <v>250000</v>
      </c>
      <c r="G6">
        <v>1</v>
      </c>
      <c r="H6" s="23">
        <f>SUM(F6:F8,F10:F13)</f>
        <v>1005000</v>
      </c>
    </row>
    <row r="7" spans="1:9" x14ac:dyDescent="0.35">
      <c r="A7" s="22">
        <v>45926</v>
      </c>
      <c r="B7" s="23">
        <v>405000</v>
      </c>
      <c r="C7">
        <v>3</v>
      </c>
      <c r="F7" s="23">
        <v>405000</v>
      </c>
      <c r="G7">
        <v>3</v>
      </c>
    </row>
    <row r="8" spans="1:9" x14ac:dyDescent="0.35">
      <c r="A8" s="22">
        <v>45927</v>
      </c>
      <c r="B8" s="23">
        <v>50000</v>
      </c>
      <c r="C8">
        <v>1</v>
      </c>
      <c r="F8" s="23">
        <v>50000</v>
      </c>
      <c r="G8">
        <v>1</v>
      </c>
    </row>
    <row r="9" spans="1:9" x14ac:dyDescent="0.35">
      <c r="A9" s="10" t="s">
        <v>27</v>
      </c>
      <c r="B9" s="23"/>
      <c r="F9" s="23"/>
    </row>
    <row r="10" spans="1:9" x14ac:dyDescent="0.35">
      <c r="A10" s="22">
        <v>45929</v>
      </c>
      <c r="B10" s="23">
        <v>50000</v>
      </c>
      <c r="C10">
        <v>1</v>
      </c>
      <c r="F10" s="23">
        <v>50000</v>
      </c>
      <c r="G10">
        <v>1</v>
      </c>
      <c r="I10" t="s">
        <v>41</v>
      </c>
    </row>
    <row r="11" spans="1:9" x14ac:dyDescent="0.35">
      <c r="A11" s="22">
        <v>45940</v>
      </c>
      <c r="B11" s="23">
        <v>100000</v>
      </c>
      <c r="C11">
        <v>2</v>
      </c>
      <c r="F11" s="23">
        <v>100000</v>
      </c>
      <c r="G11">
        <v>2</v>
      </c>
    </row>
    <row r="12" spans="1:9" x14ac:dyDescent="0.35">
      <c r="A12" s="22">
        <v>45937</v>
      </c>
      <c r="B12" s="23">
        <v>50000</v>
      </c>
      <c r="C12">
        <v>1</v>
      </c>
      <c r="F12" s="23">
        <v>50000</v>
      </c>
      <c r="G12">
        <v>1</v>
      </c>
    </row>
    <row r="13" spans="1:9" x14ac:dyDescent="0.35">
      <c r="A13" s="22">
        <v>45947</v>
      </c>
      <c r="B13" s="23">
        <v>100000</v>
      </c>
      <c r="C13">
        <v>1</v>
      </c>
      <c r="F13" s="23">
        <v>100000</v>
      </c>
      <c r="G13">
        <v>1</v>
      </c>
    </row>
    <row r="14" spans="1:9" x14ac:dyDescent="0.35">
      <c r="A14" s="22">
        <v>45954</v>
      </c>
      <c r="B14" s="23">
        <v>150000</v>
      </c>
      <c r="C14">
        <v>2</v>
      </c>
      <c r="F14" s="23">
        <v>150000</v>
      </c>
      <c r="G14">
        <v>2</v>
      </c>
    </row>
    <row r="15" spans="1:9" x14ac:dyDescent="0.35">
      <c r="A15" s="10" t="s">
        <v>28</v>
      </c>
      <c r="B15" s="23">
        <v>1155000</v>
      </c>
      <c r="C15">
        <v>12</v>
      </c>
      <c r="F15" s="23">
        <v>1155000</v>
      </c>
      <c r="G1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 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asus indonesia</cp:lastModifiedBy>
  <dcterms:created xsi:type="dcterms:W3CDTF">2025-09-27T03:59:30Z</dcterms:created>
  <dcterms:modified xsi:type="dcterms:W3CDTF">2025-10-25T05:07:45Z</dcterms:modified>
</cp:coreProperties>
</file>