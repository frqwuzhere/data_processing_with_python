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C4EF76EF-2566-4FFA-88D6-0B547A86E8F7}" xr6:coauthVersionLast="47" xr6:coauthVersionMax="47" xr10:uidLastSave="{00000000-0000-0000-0000-000000000000}"/>
  <bookViews>
    <workbookView xWindow="-120" yWindow="330" windowWidth="20730" windowHeight="11310" activeTab="2" xr2:uid="{C42F1E26-6910-432E-BA3F-8F8D69D213AF}"/>
  </bookViews>
  <sheets>
    <sheet name="Sheet3" sheetId="3" r:id="rId1"/>
    <sheet name="Sheet1" sheetId="1" r:id="rId2"/>
    <sheet name="by_friday" sheetId="2" r:id="rId3"/>
    <sheet name="by_3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11" i="2"/>
  <c r="Z20" i="5"/>
  <c r="AC11" i="5"/>
  <c r="AB11" i="5"/>
  <c r="AA11" i="5"/>
  <c r="Z11" i="5"/>
  <c r="T20" i="5"/>
  <c r="U20" i="5"/>
  <c r="V20" i="5"/>
  <c r="W20" i="5"/>
  <c r="X20" i="5"/>
  <c r="S20" i="5"/>
  <c r="M20" i="5"/>
  <c r="N20" i="5"/>
  <c r="O20" i="5"/>
  <c r="P20" i="5"/>
  <c r="Q20" i="5"/>
  <c r="L20" i="5"/>
  <c r="C11" i="5"/>
  <c r="C10" i="5"/>
  <c r="C20" i="5"/>
  <c r="E30" i="5"/>
  <c r="F30" i="5" s="1"/>
  <c r="G30" i="5" s="1"/>
  <c r="H30" i="5" s="1"/>
  <c r="I30" i="5" s="1"/>
  <c r="J30" i="5" s="1"/>
  <c r="K30" i="5" s="1"/>
  <c r="L30" i="5" s="1"/>
  <c r="M30" i="5" s="1"/>
  <c r="N30" i="5" s="1"/>
  <c r="AA20" i="5"/>
  <c r="AB20" i="5" s="1"/>
  <c r="AC20" i="5" s="1"/>
  <c r="AD20" i="5" s="1"/>
  <c r="AE20" i="5" s="1"/>
  <c r="C9" i="5"/>
  <c r="O11" i="2"/>
  <c r="M11" i="2"/>
  <c r="U11" i="2"/>
  <c r="S11" i="2"/>
  <c r="H11" i="2"/>
  <c r="F11" i="2"/>
  <c r="G11" i="2"/>
  <c r="E11" i="2"/>
  <c r="C9" i="2"/>
  <c r="C20" i="2" s="1"/>
  <c r="N30" i="2"/>
  <c r="M30" i="2"/>
  <c r="L30" i="2"/>
  <c r="K30" i="2"/>
  <c r="J30" i="2"/>
  <c r="I30" i="2"/>
  <c r="H30" i="2"/>
  <c r="G30" i="2"/>
  <c r="F30" i="2"/>
  <c r="E30" i="2"/>
  <c r="E15" i="3"/>
  <c r="F15" i="3" s="1"/>
  <c r="G12" i="3"/>
  <c r="F12" i="3"/>
  <c r="E12" i="3"/>
  <c r="AA20" i="2"/>
  <c r="AB20" i="2" s="1"/>
  <c r="AC20" i="2" s="1"/>
  <c r="AD20" i="2" s="1"/>
  <c r="AE20" i="2" s="1"/>
  <c r="E20" i="2"/>
  <c r="F20" i="2" s="1"/>
  <c r="G20" i="2" s="1"/>
  <c r="H20" i="2" s="1"/>
  <c r="I20" i="2" s="1"/>
  <c r="J20" i="2" s="1"/>
  <c r="AF25" i="1"/>
  <c r="AF24" i="1"/>
  <c r="Y26" i="1"/>
  <c r="X26" i="1"/>
  <c r="W26" i="1"/>
  <c r="V26" i="1"/>
  <c r="R26" i="1"/>
  <c r="Q26" i="1"/>
  <c r="P26" i="1"/>
  <c r="O26" i="1"/>
  <c r="K26" i="1"/>
  <c r="J26" i="1"/>
  <c r="I26" i="1"/>
  <c r="H26" i="1"/>
  <c r="D25" i="1"/>
  <c r="AC25" i="1" s="1"/>
  <c r="AD25" i="1" s="1"/>
  <c r="AE25" i="1" s="1"/>
  <c r="C25" i="1"/>
  <c r="B25" i="1"/>
  <c r="G18" i="1"/>
  <c r="B22" i="2" l="1"/>
  <c r="V11" i="2"/>
  <c r="T11" i="2"/>
  <c r="N11" i="2"/>
  <c r="L11" i="2"/>
  <c r="B22" i="5"/>
  <c r="E20" i="5"/>
  <c r="F20" i="5" s="1"/>
  <c r="G20" i="5" s="1"/>
  <c r="H20" i="5" s="1"/>
  <c r="I20" i="5" s="1"/>
  <c r="J20" i="5" s="1"/>
  <c r="V11" i="5"/>
  <c r="T11" i="5"/>
  <c r="N11" i="5"/>
  <c r="L11" i="5"/>
  <c r="U11" i="5"/>
  <c r="S11" i="5"/>
  <c r="G11" i="5"/>
  <c r="E11" i="5"/>
  <c r="O11" i="5"/>
  <c r="M11" i="5"/>
  <c r="H11" i="5"/>
  <c r="F11" i="5"/>
  <c r="E13" i="3"/>
  <c r="F13" i="3" s="1"/>
  <c r="F14" i="3" s="1"/>
  <c r="AF26" i="1"/>
</calcChain>
</file>

<file path=xl/sharedStrings.xml><?xml version="1.0" encoding="utf-8"?>
<sst xmlns="http://schemas.openxmlformats.org/spreadsheetml/2006/main" count="290" uniqueCount="91">
  <si>
    <t>Selasa</t>
  </si>
  <si>
    <t>Rabu</t>
  </si>
  <si>
    <t>Kamis</t>
  </si>
  <si>
    <t>Jumat</t>
  </si>
  <si>
    <t>Sabtu</t>
  </si>
  <si>
    <t>Ahad</t>
  </si>
  <si>
    <t>Senin</t>
  </si>
  <si>
    <t>Hari</t>
  </si>
  <si>
    <t>Tanggal</t>
  </si>
  <si>
    <t>Jumlah blast Jumat</t>
  </si>
  <si>
    <t>Jumlah blast payday</t>
  </si>
  <si>
    <t>Jumat 1</t>
  </si>
  <si>
    <t>Jumat 2</t>
  </si>
  <si>
    <t>Jumat 3</t>
  </si>
  <si>
    <t>Jumat 4</t>
  </si>
  <si>
    <t>Jumlah blast weekday</t>
  </si>
  <si>
    <t>Skema Blast Jumat 2x</t>
  </si>
  <si>
    <t>Pengamanan no WA</t>
  </si>
  <si>
    <t>Scale-up CTWA</t>
  </si>
  <si>
    <t xml:space="preserve">SIMULASI PROSPEK: </t>
  </si>
  <si>
    <t>JUMLAH DATA: 1300</t>
  </si>
  <si>
    <t>BLAST HARIAN: 600</t>
  </si>
  <si>
    <t>Sisa data</t>
  </si>
  <si>
    <t>tambahan agustus</t>
  </si>
  <si>
    <t>Zaeni</t>
  </si>
  <si>
    <t>Data</t>
  </si>
  <si>
    <t>Max Blast</t>
  </si>
  <si>
    <t>OKTOBER</t>
  </si>
  <si>
    <t>NOVEMBER</t>
  </si>
  <si>
    <t>DESEMBER</t>
  </si>
  <si>
    <t>JANUARI</t>
  </si>
  <si>
    <t>4 Hari</t>
  </si>
  <si>
    <t>PUTARAN PERTAMA</t>
  </si>
  <si>
    <t>ROTASI KELOMPOK A &amp; PAYDAY</t>
  </si>
  <si>
    <t>ROTASI KELOMPOK B &amp; PAYDAY</t>
  </si>
  <si>
    <t>Total Data</t>
  </si>
  <si>
    <t>A</t>
  </si>
  <si>
    <t>B</t>
  </si>
  <si>
    <t>Payday</t>
  </si>
  <si>
    <t xml:space="preserve">payday </t>
  </si>
  <si>
    <t>6 hari</t>
  </si>
  <si>
    <t>Payday 1</t>
  </si>
  <si>
    <t>Payday 2</t>
  </si>
  <si>
    <t>Payday 3</t>
  </si>
  <si>
    <t>Payday 4</t>
  </si>
  <si>
    <t>Payday 5</t>
  </si>
  <si>
    <t>Payday 6</t>
  </si>
  <si>
    <t>Total</t>
  </si>
  <si>
    <t>Weekday</t>
  </si>
  <si>
    <t>10 hari</t>
  </si>
  <si>
    <t>Rencana Bulan</t>
  </si>
  <si>
    <t>September</t>
  </si>
  <si>
    <t>Prioritas Prospek</t>
  </si>
  <si>
    <t>CS</t>
  </si>
  <si>
    <t>Sesuai kan dengan yg sudah dirumuskan</t>
  </si>
  <si>
    <t>No CS</t>
  </si>
  <si>
    <t>Jumlah data</t>
  </si>
  <si>
    <t>Kuota maksimal blast</t>
  </si>
  <si>
    <t>Offering</t>
  </si>
  <si>
    <t>Upgrade kuota maksimal blast</t>
  </si>
  <si>
    <t>Palestina : pangan palestina</t>
  </si>
  <si>
    <t>Timing</t>
  </si>
  <si>
    <t>Action</t>
  </si>
  <si>
    <t>Jml hari</t>
  </si>
  <si>
    <t>Kuota Blast</t>
  </si>
  <si>
    <t xml:space="preserve">Total Blast </t>
  </si>
  <si>
    <t>Total Blast Upgrade</t>
  </si>
  <si>
    <t>lokal : masjid, air</t>
  </si>
  <si>
    <t>Friday</t>
  </si>
  <si>
    <t>Hardselling/Funding</t>
  </si>
  <si>
    <t>Total data terhardselling</t>
  </si>
  <si>
    <t>Interaksi</t>
  </si>
  <si>
    <t>Total data terinteraksi</t>
  </si>
  <si>
    <t>Catatan:</t>
  </si>
  <si>
    <t>1. Semua data donatur harus terhardselling di Friday atau Payday minimal 1 kali disalah satunya dalam 1 bulan.</t>
  </si>
  <si>
    <t>2. untuk weekday utamakan interaksi dengan donatur yg sudah berdonasi di hari Friday&amp;payday, kirim kwitansi, laporan,dll</t>
  </si>
  <si>
    <t>3. setelah data point 1 habis baru masukkan data yg belum berdonasi di Friday dan Payday</t>
  </si>
  <si>
    <t>4. Apabila data habis di kirim hardselling di 4 kali jumat, maka payday digunakan untuk hardselling kembali donatur yang belum berdonasi dihari jumat.</t>
  </si>
  <si>
    <t>Weekday 1</t>
  </si>
  <si>
    <t>Weekday 2</t>
  </si>
  <si>
    <t>Weekday 3</t>
  </si>
  <si>
    <t>Weekday 4</t>
  </si>
  <si>
    <t>Weekday 5</t>
  </si>
  <si>
    <t>Weekday 6</t>
  </si>
  <si>
    <t>Weekday 7</t>
  </si>
  <si>
    <t>Weekday 8</t>
  </si>
  <si>
    <t>Weekday 9</t>
  </si>
  <si>
    <t>Weekday 10</t>
  </si>
  <si>
    <t xml:space="preserve"> </t>
  </si>
  <si>
    <t>50 A</t>
  </si>
  <si>
    <t>50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</si>
</sst>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4" borderId="0" xfId="0" applyNumberFormat="1" applyFill="1"/>
    <xf numFmtId="0" fontId="0" fillId="4" borderId="0" xfId="0" applyFill="1"/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1" fontId="0" fillId="6" borderId="0" xfId="0" applyNumberFormat="1" applyFill="1"/>
    <xf numFmtId="0" fontId="0" fillId="7" borderId="0" xfId="0" applyFill="1"/>
    <xf numFmtId="1" fontId="0" fillId="7" borderId="0" xfId="0" applyNumberFormat="1" applyFill="1"/>
    <xf numFmtId="0" fontId="0" fillId="8" borderId="0" xfId="0" applyFill="1"/>
    <xf numFmtId="1" fontId="0" fillId="8" borderId="0" xfId="0" applyNumberFormat="1" applyFill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11" borderId="0" xfId="0" applyFont="1" applyFill="1"/>
    <xf numFmtId="0" fontId="0" fillId="12" borderId="0" xfId="0" applyFill="1" applyAlignment="1">
      <alignment horizontal="right"/>
    </xf>
    <xf numFmtId="164" fontId="0" fillId="13" borderId="0" xfId="1" applyNumberFormat="1" applyFont="1" applyFill="1"/>
    <xf numFmtId="0" fontId="0" fillId="13" borderId="0" xfId="0" applyFill="1"/>
    <xf numFmtId="0" fontId="2" fillId="13" borderId="0" xfId="0" applyFont="1" applyFill="1"/>
    <xf numFmtId="0" fontId="0" fillId="13" borderId="0" xfId="0" applyFill="1" applyAlignment="1">
      <alignment horizontal="center"/>
    </xf>
    <xf numFmtId="164" fontId="1" fillId="10" borderId="0" xfId="1" applyNumberFormat="1" applyFont="1" applyFill="1"/>
    <xf numFmtId="164" fontId="1" fillId="12" borderId="0" xfId="1" applyNumberFormat="1" applyFont="1" applyFill="1"/>
    <xf numFmtId="0" fontId="3" fillId="14" borderId="0" xfId="0" applyFont="1" applyFill="1"/>
    <xf numFmtId="164" fontId="1" fillId="9" borderId="0" xfId="1" applyNumberFormat="1" applyFont="1" applyFill="1"/>
    <xf numFmtId="0" fontId="3" fillId="11" borderId="0" xfId="0" applyFont="1" applyFill="1" applyAlignment="1">
      <alignment horizontal="center"/>
    </xf>
    <xf numFmtId="164" fontId="3" fillId="11" borderId="0" xfId="1" applyNumberFormat="1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164" fontId="0" fillId="7" borderId="0" xfId="1" applyNumberFormat="1" applyFont="1" applyFill="1"/>
    <xf numFmtId="164" fontId="0" fillId="7" borderId="0" xfId="0" applyNumberFormat="1" applyFill="1"/>
    <xf numFmtId="164" fontId="0" fillId="10" borderId="0" xfId="0" applyNumberFormat="1" applyFill="1"/>
    <xf numFmtId="164" fontId="0" fillId="13" borderId="0" xfId="1" applyNumberFormat="1" applyFont="1" applyFill="1" applyAlignment="1">
      <alignment horizontal="right"/>
    </xf>
    <xf numFmtId="0" fontId="0" fillId="13" borderId="0" xfId="0" applyFill="1" applyAlignment="1">
      <alignment horizontal="right"/>
    </xf>
    <xf numFmtId="164" fontId="0" fillId="13" borderId="0" xfId="0" applyNumberFormat="1" applyFill="1"/>
    <xf numFmtId="0" fontId="0" fillId="15" borderId="0" xfId="0" applyFill="1"/>
    <xf numFmtId="164" fontId="0" fillId="15" borderId="0" xfId="1" applyNumberFormat="1" applyFont="1" applyFill="1"/>
    <xf numFmtId="164" fontId="0" fillId="15" borderId="0" xfId="0" applyNumberFormat="1" applyFill="1"/>
    <xf numFmtId="164" fontId="0" fillId="10" borderId="0" xfId="1" applyNumberFormat="1" applyFont="1" applyFill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9323-BB9C-4BD9-B0C3-BBC8F0829F97}">
  <dimension ref="B4:L21"/>
  <sheetViews>
    <sheetView workbookViewId="0">
      <selection activeCell="E27" sqref="E27"/>
    </sheetView>
  </sheetViews>
  <sheetFormatPr defaultRowHeight="15" x14ac:dyDescent="0.25"/>
  <cols>
    <col min="1" max="1" width="9.140625" style="23"/>
    <col min="2" max="2" width="29.140625" style="23" customWidth="1"/>
    <col min="3" max="3" width="19.28515625" style="23" bestFit="1" customWidth="1"/>
    <col min="4" max="4" width="23.42578125" style="22" bestFit="1" customWidth="1"/>
    <col min="5" max="5" width="14.7109375" style="23" bestFit="1" customWidth="1"/>
    <col min="6" max="7" width="18.28515625" style="23" bestFit="1" customWidth="1"/>
    <col min="8" max="8" width="6.85546875" style="23" bestFit="1" customWidth="1"/>
    <col min="9" max="9" width="22.85546875" style="23" bestFit="1" customWidth="1"/>
    <col min="10" max="10" width="9.140625" style="23"/>
    <col min="11" max="11" width="59.85546875" style="23" bestFit="1" customWidth="1"/>
    <col min="12" max="12" width="11" style="25" customWidth="1"/>
    <col min="13" max="13" width="13.28515625" style="23" bestFit="1" customWidth="1"/>
    <col min="14" max="14" width="10.85546875" style="23" bestFit="1" customWidth="1"/>
    <col min="15" max="16384" width="9.140625" style="23"/>
  </cols>
  <sheetData>
    <row r="4" spans="2:11" x14ac:dyDescent="0.25">
      <c r="B4" s="20" t="s">
        <v>50</v>
      </c>
      <c r="C4" s="21" t="s">
        <v>51</v>
      </c>
      <c r="K4" s="24" t="s">
        <v>52</v>
      </c>
    </row>
    <row r="5" spans="2:11" x14ac:dyDescent="0.25">
      <c r="B5" s="20" t="s">
        <v>53</v>
      </c>
      <c r="C5" s="21"/>
      <c r="K5" s="23" t="s">
        <v>54</v>
      </c>
    </row>
    <row r="6" spans="2:11" x14ac:dyDescent="0.25">
      <c r="B6" s="20" t="s">
        <v>55</v>
      </c>
      <c r="C6" s="21"/>
    </row>
    <row r="7" spans="2:11" x14ac:dyDescent="0.25">
      <c r="B7" s="20" t="s">
        <v>56</v>
      </c>
      <c r="C7" s="26"/>
    </row>
    <row r="8" spans="2:11" x14ac:dyDescent="0.25">
      <c r="B8" s="20" t="s">
        <v>57</v>
      </c>
      <c r="C8" s="27"/>
      <c r="K8" s="24" t="s">
        <v>58</v>
      </c>
    </row>
    <row r="9" spans="2:11" x14ac:dyDescent="0.25">
      <c r="B9" s="28" t="s">
        <v>59</v>
      </c>
      <c r="C9" s="29"/>
      <c r="K9" s="24"/>
    </row>
    <row r="10" spans="2:11" x14ac:dyDescent="0.25">
      <c r="K10" s="23" t="s">
        <v>60</v>
      </c>
    </row>
    <row r="11" spans="2:11" x14ac:dyDescent="0.25">
      <c r="B11" s="30" t="s">
        <v>61</v>
      </c>
      <c r="C11" s="30" t="s">
        <v>62</v>
      </c>
      <c r="D11" s="31" t="s">
        <v>63</v>
      </c>
      <c r="E11" s="30" t="s">
        <v>64</v>
      </c>
      <c r="F11" s="30" t="s">
        <v>65</v>
      </c>
      <c r="G11" s="32" t="s">
        <v>66</v>
      </c>
      <c r="K11" s="23" t="s">
        <v>67</v>
      </c>
    </row>
    <row r="12" spans="2:11" x14ac:dyDescent="0.25">
      <c r="B12" s="11" t="s">
        <v>68</v>
      </c>
      <c r="C12" s="11" t="s">
        <v>69</v>
      </c>
      <c r="D12" s="33">
        <v>4</v>
      </c>
      <c r="E12" s="34">
        <f>C8</f>
        <v>0</v>
      </c>
      <c r="F12" s="34">
        <f>D12*C8</f>
        <v>0</v>
      </c>
      <c r="G12" s="35">
        <f>D12*C9</f>
        <v>0</v>
      </c>
    </row>
    <row r="13" spans="2:11" x14ac:dyDescent="0.25">
      <c r="B13" s="11" t="s">
        <v>38</v>
      </c>
      <c r="C13" s="11" t="s">
        <v>69</v>
      </c>
      <c r="D13" s="33">
        <v>8</v>
      </c>
      <c r="E13" s="12">
        <f>(C7-F12)/D13</f>
        <v>0</v>
      </c>
      <c r="F13" s="34">
        <f>E13*D13</f>
        <v>0</v>
      </c>
      <c r="G13"/>
    </row>
    <row r="14" spans="2:11" x14ac:dyDescent="0.25">
      <c r="D14" s="36"/>
      <c r="E14" s="37" t="s">
        <v>70</v>
      </c>
      <c r="F14" s="38">
        <f>F12+F13</f>
        <v>0</v>
      </c>
    </row>
    <row r="15" spans="2:11" x14ac:dyDescent="0.25">
      <c r="B15" s="39" t="s">
        <v>48</v>
      </c>
      <c r="C15" s="39" t="s">
        <v>71</v>
      </c>
      <c r="D15" s="40">
        <v>15</v>
      </c>
      <c r="E15" s="41">
        <f>C7/D15</f>
        <v>0</v>
      </c>
      <c r="F15" s="42">
        <f>E15*D15</f>
        <v>0</v>
      </c>
      <c r="G15"/>
    </row>
    <row r="16" spans="2:11" x14ac:dyDescent="0.25">
      <c r="E16" s="37" t="s">
        <v>72</v>
      </c>
    </row>
    <row r="17" spans="2:2" x14ac:dyDescent="0.25">
      <c r="B17" s="23" t="s">
        <v>73</v>
      </c>
    </row>
    <row r="18" spans="2:2" x14ac:dyDescent="0.25">
      <c r="B18" s="23" t="s">
        <v>74</v>
      </c>
    </row>
    <row r="19" spans="2:2" x14ac:dyDescent="0.25">
      <c r="B19" s="23" t="s">
        <v>75</v>
      </c>
    </row>
    <row r="20" spans="2:2" x14ac:dyDescent="0.25">
      <c r="B20" s="23" t="s">
        <v>76</v>
      </c>
    </row>
    <row r="21" spans="2:2" x14ac:dyDescent="0.25">
      <c r="B21" s="2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C25A-4DFA-44B3-A1D5-DAE01E74EBF3}">
  <dimension ref="A17:AF29"/>
  <sheetViews>
    <sheetView topLeftCell="A13" zoomScale="90" zoomScaleNormal="90" workbookViewId="0">
      <selection activeCell="G34" sqref="G34"/>
    </sheetView>
  </sheetViews>
  <sheetFormatPr defaultRowHeight="15" x14ac:dyDescent="0.25"/>
  <cols>
    <col min="1" max="1" width="20.7109375" bestFit="1" customWidth="1"/>
    <col min="2" max="2" width="10.5703125" bestFit="1" customWidth="1"/>
    <col min="3" max="3" width="16.7109375" style="1" bestFit="1" customWidth="1"/>
    <col min="4" max="4" width="11.7109375" bestFit="1" customWidth="1"/>
    <col min="5" max="5" width="11.42578125" bestFit="1" customWidth="1"/>
    <col min="7" max="7" width="10.140625" bestFit="1" customWidth="1"/>
  </cols>
  <sheetData>
    <row r="17" spans="1:32" x14ac:dyDescent="0.25">
      <c r="B17" t="s">
        <v>19</v>
      </c>
      <c r="E17" t="s">
        <v>22</v>
      </c>
      <c r="F17" t="s">
        <v>23</v>
      </c>
    </row>
    <row r="18" spans="1:32" x14ac:dyDescent="0.25">
      <c r="B18" t="s">
        <v>20</v>
      </c>
      <c r="E18">
        <v>100</v>
      </c>
      <c r="F18">
        <v>500</v>
      </c>
      <c r="G18">
        <f>E18+F18</f>
        <v>600</v>
      </c>
    </row>
    <row r="19" spans="1:32" x14ac:dyDescent="0.25">
      <c r="B19" t="s">
        <v>21</v>
      </c>
    </row>
    <row r="21" spans="1:32" x14ac:dyDescent="0.25">
      <c r="A21" t="s">
        <v>7</v>
      </c>
      <c r="B21" t="s">
        <v>0</v>
      </c>
      <c r="C21" s="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0</v>
      </c>
      <c r="J21" s="1" t="s">
        <v>1</v>
      </c>
      <c r="K21" t="s">
        <v>2</v>
      </c>
      <c r="L21" t="s">
        <v>3</v>
      </c>
      <c r="M21" t="s">
        <v>4</v>
      </c>
      <c r="N21" t="s">
        <v>5</v>
      </c>
      <c r="O21" t="s">
        <v>6</v>
      </c>
      <c r="P21" t="s">
        <v>0</v>
      </c>
      <c r="Q21" s="1" t="s">
        <v>1</v>
      </c>
      <c r="R21" t="s">
        <v>2</v>
      </c>
      <c r="S21" t="s">
        <v>3</v>
      </c>
      <c r="T21" t="s">
        <v>4</v>
      </c>
      <c r="U21" t="s">
        <v>5</v>
      </c>
      <c r="V21" t="s">
        <v>6</v>
      </c>
      <c r="W21" t="s">
        <v>0</v>
      </c>
      <c r="X21" s="1" t="s">
        <v>1</v>
      </c>
      <c r="Y21" t="s">
        <v>2</v>
      </c>
      <c r="Z21" t="s">
        <v>3</v>
      </c>
      <c r="AA21" t="s">
        <v>4</v>
      </c>
      <c r="AB21" t="s">
        <v>5</v>
      </c>
      <c r="AC21" t="s">
        <v>6</v>
      </c>
      <c r="AD21" t="s">
        <v>0</v>
      </c>
      <c r="AE21" s="1" t="s">
        <v>1</v>
      </c>
    </row>
    <row r="22" spans="1:32" x14ac:dyDescent="0.25">
      <c r="A22" t="s">
        <v>8</v>
      </c>
      <c r="B22" s="2">
        <v>1</v>
      </c>
      <c r="C22" s="3">
        <v>2</v>
      </c>
      <c r="D22" s="2">
        <v>3</v>
      </c>
      <c r="E22" s="3">
        <v>4</v>
      </c>
      <c r="F22" s="8">
        <v>5</v>
      </c>
      <c r="G22" s="7">
        <v>6</v>
      </c>
      <c r="H22" s="6">
        <v>7</v>
      </c>
      <c r="I22" s="5">
        <v>8</v>
      </c>
      <c r="J22" s="6">
        <v>9</v>
      </c>
      <c r="K22" s="5">
        <v>10</v>
      </c>
      <c r="L22" s="6">
        <v>11</v>
      </c>
      <c r="M22" s="7">
        <v>12</v>
      </c>
      <c r="N22" s="8">
        <v>13</v>
      </c>
      <c r="O22" s="5">
        <v>14</v>
      </c>
      <c r="P22" s="6">
        <v>15</v>
      </c>
      <c r="Q22" s="5">
        <v>16</v>
      </c>
      <c r="R22" s="6">
        <v>17</v>
      </c>
      <c r="S22" s="5">
        <v>18</v>
      </c>
      <c r="T22" s="8">
        <v>19</v>
      </c>
      <c r="U22" s="7">
        <v>20</v>
      </c>
      <c r="V22" s="6">
        <v>21</v>
      </c>
      <c r="W22" s="5">
        <v>22</v>
      </c>
      <c r="X22" s="6">
        <v>23</v>
      </c>
      <c r="Y22" s="5">
        <v>24</v>
      </c>
      <c r="Z22" s="2">
        <v>25</v>
      </c>
      <c r="AA22" s="7">
        <v>26</v>
      </c>
      <c r="AB22" s="8">
        <v>27</v>
      </c>
      <c r="AC22" s="3">
        <v>28</v>
      </c>
      <c r="AD22" s="2">
        <v>29</v>
      </c>
      <c r="AE22" s="3">
        <v>30</v>
      </c>
    </row>
    <row r="23" spans="1:32" x14ac:dyDescent="0.25">
      <c r="E23" s="4" t="s">
        <v>11</v>
      </c>
      <c r="L23" s="4" t="s">
        <v>12</v>
      </c>
      <c r="S23" s="4" t="s">
        <v>13</v>
      </c>
      <c r="Z23" s="4" t="s">
        <v>14</v>
      </c>
    </row>
    <row r="24" spans="1:32" x14ac:dyDescent="0.25">
      <c r="A24" t="s">
        <v>9</v>
      </c>
      <c r="B24" s="11"/>
      <c r="C24" s="12"/>
      <c r="D24" s="11"/>
      <c r="E24" s="11">
        <v>600</v>
      </c>
      <c r="F24" s="11"/>
      <c r="G24" s="11"/>
      <c r="H24" s="11"/>
      <c r="I24" s="11"/>
      <c r="J24" s="11"/>
      <c r="K24" s="11"/>
      <c r="L24" s="11">
        <v>600</v>
      </c>
      <c r="M24" s="11"/>
      <c r="N24" s="11"/>
      <c r="O24" s="11"/>
      <c r="P24" s="11"/>
      <c r="Q24" s="11"/>
      <c r="R24" s="11"/>
      <c r="S24" s="11">
        <v>600</v>
      </c>
      <c r="T24" s="11"/>
      <c r="U24" s="11"/>
      <c r="V24" s="11"/>
      <c r="W24" s="11"/>
      <c r="X24" s="11"/>
      <c r="Y24" s="11"/>
      <c r="Z24" s="11">
        <v>600</v>
      </c>
      <c r="AA24" s="11"/>
      <c r="AB24" s="11"/>
      <c r="AC24" s="11"/>
      <c r="AD24" s="11"/>
      <c r="AE24" s="11"/>
      <c r="AF24" s="11">
        <f>SUM(B24:AE24)</f>
        <v>2400</v>
      </c>
    </row>
    <row r="25" spans="1:32" x14ac:dyDescent="0.25">
      <c r="A25" s="9" t="s">
        <v>10</v>
      </c>
      <c r="B25" s="9">
        <f>G18/6</f>
        <v>100</v>
      </c>
      <c r="C25" s="10">
        <f>B25</f>
        <v>100</v>
      </c>
      <c r="D25" s="10">
        <f>C25</f>
        <v>100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>
        <f>D25</f>
        <v>100</v>
      </c>
      <c r="AD25" s="10">
        <f>AC25</f>
        <v>100</v>
      </c>
      <c r="AE25" s="10">
        <f>AD25</f>
        <v>100</v>
      </c>
      <c r="AF25" s="9">
        <f>SUM(B25:AE25)</f>
        <v>600</v>
      </c>
    </row>
    <row r="26" spans="1:32" x14ac:dyDescent="0.25">
      <c r="A26" t="s">
        <v>15</v>
      </c>
      <c r="B26" s="13"/>
      <c r="C26" s="14"/>
      <c r="D26" s="13"/>
      <c r="E26" s="13"/>
      <c r="F26" s="13"/>
      <c r="G26" s="14"/>
      <c r="H26" s="14">
        <f>1800/12</f>
        <v>150</v>
      </c>
      <c r="I26" s="14">
        <f>H26</f>
        <v>150</v>
      </c>
      <c r="J26" s="14">
        <f>I26</f>
        <v>150</v>
      </c>
      <c r="K26" s="14">
        <f>J26</f>
        <v>150</v>
      </c>
      <c r="L26" s="13"/>
      <c r="M26" s="14"/>
      <c r="N26" s="14"/>
      <c r="O26" s="14">
        <f>K26</f>
        <v>150</v>
      </c>
      <c r="P26" s="14">
        <f>O26</f>
        <v>150</v>
      </c>
      <c r="Q26" s="14">
        <f>P26</f>
        <v>150</v>
      </c>
      <c r="R26" s="14">
        <f>Q26</f>
        <v>150</v>
      </c>
      <c r="S26" s="13"/>
      <c r="T26" s="14"/>
      <c r="U26" s="14"/>
      <c r="V26" s="14">
        <f>R26</f>
        <v>150</v>
      </c>
      <c r="W26" s="14">
        <f>V26</f>
        <v>150</v>
      </c>
      <c r="X26" s="14">
        <f>W26</f>
        <v>150</v>
      </c>
      <c r="Y26" s="14">
        <f>X26</f>
        <v>150</v>
      </c>
      <c r="Z26" s="13"/>
      <c r="AA26" s="13"/>
      <c r="AB26" s="13"/>
      <c r="AC26" s="13"/>
      <c r="AD26" s="13"/>
      <c r="AE26" s="13"/>
      <c r="AF26" s="13">
        <f>SUM(B26:AE26)</f>
        <v>1800</v>
      </c>
    </row>
    <row r="27" spans="1:32" x14ac:dyDescent="0.25">
      <c r="A27" t="s">
        <v>16</v>
      </c>
      <c r="E27" s="4" t="s">
        <v>13</v>
      </c>
      <c r="L27" s="4" t="s">
        <v>14</v>
      </c>
      <c r="S27" s="4" t="s">
        <v>11</v>
      </c>
      <c r="Z27" s="4" t="s">
        <v>12</v>
      </c>
    </row>
    <row r="28" spans="1:32" x14ac:dyDescent="0.25">
      <c r="E28">
        <v>900</v>
      </c>
      <c r="L28">
        <v>900</v>
      </c>
      <c r="S28">
        <v>900</v>
      </c>
      <c r="Z28">
        <v>900</v>
      </c>
    </row>
    <row r="29" spans="1:32" x14ac:dyDescent="0.25">
      <c r="A29" t="s">
        <v>17</v>
      </c>
      <c r="E29" t="s">
        <v>18</v>
      </c>
      <c r="L29" t="s">
        <v>18</v>
      </c>
      <c r="S29" t="s">
        <v>18</v>
      </c>
      <c r="Z2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7192-50A5-4975-B356-CD83A7815C57}">
  <dimension ref="A3:AE38"/>
  <sheetViews>
    <sheetView tabSelected="1" topLeftCell="A7" workbookViewId="0">
      <selection activeCell="I15" sqref="I15"/>
    </sheetView>
  </sheetViews>
  <sheetFormatPr defaultRowHeight="15" x14ac:dyDescent="0.25"/>
  <cols>
    <col min="2" max="2" width="9.85546875" bestFit="1" customWidth="1"/>
  </cols>
  <sheetData>
    <row r="3" spans="2:29" x14ac:dyDescent="0.25">
      <c r="B3" t="s">
        <v>24</v>
      </c>
      <c r="C3" t="s">
        <v>25</v>
      </c>
      <c r="D3" t="s">
        <v>26</v>
      </c>
      <c r="E3" t="s">
        <v>12</v>
      </c>
      <c r="F3" t="s">
        <v>13</v>
      </c>
      <c r="G3" t="s">
        <v>14</v>
      </c>
      <c r="H3" t="s">
        <v>11</v>
      </c>
      <c r="I3" t="s">
        <v>12</v>
      </c>
      <c r="J3" t="s">
        <v>13</v>
      </c>
    </row>
    <row r="4" spans="2:29" x14ac:dyDescent="0.25">
      <c r="B4">
        <v>2056</v>
      </c>
      <c r="C4">
        <v>736</v>
      </c>
      <c r="D4">
        <v>250</v>
      </c>
      <c r="E4">
        <v>500</v>
      </c>
      <c r="F4">
        <v>600</v>
      </c>
      <c r="G4">
        <v>700</v>
      </c>
      <c r="H4">
        <v>800</v>
      </c>
      <c r="I4">
        <v>900</v>
      </c>
      <c r="J4">
        <v>1000</v>
      </c>
    </row>
    <row r="5" spans="2:29" x14ac:dyDescent="0.25">
      <c r="B5">
        <v>2057</v>
      </c>
      <c r="C5">
        <v>715</v>
      </c>
      <c r="D5">
        <v>300</v>
      </c>
      <c r="E5">
        <v>453</v>
      </c>
      <c r="F5">
        <v>600</v>
      </c>
      <c r="G5">
        <v>700</v>
      </c>
      <c r="H5">
        <v>800</v>
      </c>
      <c r="I5">
        <v>900</v>
      </c>
      <c r="J5">
        <v>1000</v>
      </c>
    </row>
    <row r="7" spans="2:29" x14ac:dyDescent="0.25">
      <c r="E7" t="s">
        <v>27</v>
      </c>
      <c r="L7" t="s">
        <v>28</v>
      </c>
      <c r="S7" t="s">
        <v>29</v>
      </c>
      <c r="Z7" t="s">
        <v>30</v>
      </c>
    </row>
    <row r="8" spans="2:29" x14ac:dyDescent="0.25">
      <c r="B8" t="s">
        <v>3</v>
      </c>
      <c r="C8" t="s">
        <v>31</v>
      </c>
      <c r="E8" t="s">
        <v>32</v>
      </c>
      <c r="L8" t="s">
        <v>33</v>
      </c>
      <c r="S8" t="s">
        <v>34</v>
      </c>
      <c r="Z8" t="s">
        <v>32</v>
      </c>
    </row>
    <row r="9" spans="2:29" x14ac:dyDescent="0.25">
      <c r="B9" t="s">
        <v>35</v>
      </c>
      <c r="C9">
        <f>D4*2</f>
        <v>500</v>
      </c>
      <c r="E9" s="15" t="s">
        <v>11</v>
      </c>
      <c r="F9" s="15" t="s">
        <v>12</v>
      </c>
      <c r="G9" s="15" t="s">
        <v>13</v>
      </c>
      <c r="H9" s="15" t="s">
        <v>14</v>
      </c>
      <c r="L9" s="15" t="s">
        <v>11</v>
      </c>
      <c r="M9" s="15" t="s">
        <v>12</v>
      </c>
      <c r="N9" s="15" t="s">
        <v>13</v>
      </c>
      <c r="O9" s="15" t="s">
        <v>14</v>
      </c>
      <c r="S9" s="15" t="s">
        <v>11</v>
      </c>
      <c r="T9" s="15" t="s">
        <v>12</v>
      </c>
      <c r="U9" s="15" t="s">
        <v>13</v>
      </c>
      <c r="V9" s="15" t="s">
        <v>14</v>
      </c>
      <c r="Z9" s="15" t="s">
        <v>11</v>
      </c>
      <c r="AA9" s="15" t="s">
        <v>12</v>
      </c>
      <c r="AB9" s="15" t="s">
        <v>13</v>
      </c>
      <c r="AC9" s="15" t="s">
        <v>14</v>
      </c>
    </row>
    <row r="10" spans="2:29" x14ac:dyDescent="0.25">
      <c r="B10" t="s">
        <v>36</v>
      </c>
      <c r="C10">
        <f>D4</f>
        <v>250</v>
      </c>
      <c r="E10" s="16" t="s">
        <v>36</v>
      </c>
      <c r="F10" s="17" t="s">
        <v>37</v>
      </c>
      <c r="G10" s="16" t="s">
        <v>36</v>
      </c>
      <c r="H10" s="17" t="s">
        <v>37</v>
      </c>
      <c r="L10" s="16" t="s">
        <v>38</v>
      </c>
      <c r="M10" s="17" t="s">
        <v>37</v>
      </c>
      <c r="N10" s="16" t="s">
        <v>38</v>
      </c>
      <c r="O10" s="17" t="s">
        <v>37</v>
      </c>
      <c r="S10" s="16" t="s">
        <v>36</v>
      </c>
      <c r="T10" s="17" t="s">
        <v>38</v>
      </c>
      <c r="U10" s="16" t="s">
        <v>36</v>
      </c>
      <c r="V10" s="17" t="s">
        <v>38</v>
      </c>
      <c r="Z10" s="16" t="s">
        <v>37</v>
      </c>
      <c r="AA10" s="17" t="s">
        <v>36</v>
      </c>
      <c r="AB10" s="16" t="s">
        <v>37</v>
      </c>
      <c r="AC10" s="17" t="s">
        <v>36</v>
      </c>
    </row>
    <row r="11" spans="2:29" x14ac:dyDescent="0.25">
      <c r="B11" t="s">
        <v>37</v>
      </c>
      <c r="C11">
        <f>D4</f>
        <v>250</v>
      </c>
      <c r="E11">
        <f>C10</f>
        <v>250</v>
      </c>
      <c r="F11">
        <f>C11</f>
        <v>250</v>
      </c>
      <c r="G11">
        <f>C10</f>
        <v>250</v>
      </c>
      <c r="H11">
        <f>C11</f>
        <v>250</v>
      </c>
      <c r="L11">
        <f>C20</f>
        <v>236</v>
      </c>
      <c r="M11">
        <f>C11</f>
        <v>250</v>
      </c>
      <c r="N11">
        <f>C20</f>
        <v>236</v>
      </c>
      <c r="O11">
        <f>C11</f>
        <v>250</v>
      </c>
      <c r="S11">
        <f>C10</f>
        <v>250</v>
      </c>
      <c r="T11">
        <f>C20</f>
        <v>236</v>
      </c>
      <c r="U11">
        <f>C10</f>
        <v>250</v>
      </c>
      <c r="V11">
        <f>C20</f>
        <v>236</v>
      </c>
      <c r="Z11">
        <v>1000</v>
      </c>
      <c r="AA11">
        <v>1000</v>
      </c>
      <c r="AB11">
        <v>1000</v>
      </c>
      <c r="AC11">
        <v>1000</v>
      </c>
    </row>
    <row r="19" spans="1:31" x14ac:dyDescent="0.25">
      <c r="B19" t="s">
        <v>39</v>
      </c>
      <c r="C19" t="s">
        <v>40</v>
      </c>
      <c r="E19" s="18" t="s">
        <v>41</v>
      </c>
      <c r="F19" s="18" t="s">
        <v>42</v>
      </c>
      <c r="G19" s="18" t="s">
        <v>43</v>
      </c>
      <c r="H19" s="18" t="s">
        <v>44</v>
      </c>
      <c r="I19" s="18" t="s">
        <v>45</v>
      </c>
      <c r="J19" s="18" t="s">
        <v>46</v>
      </c>
      <c r="L19" s="18" t="s">
        <v>41</v>
      </c>
      <c r="M19" s="18" t="s">
        <v>42</v>
      </c>
      <c r="N19" s="18" t="s">
        <v>43</v>
      </c>
      <c r="O19" s="18" t="s">
        <v>44</v>
      </c>
      <c r="P19" s="18" t="s">
        <v>45</v>
      </c>
      <c r="Q19" s="18" t="s">
        <v>46</v>
      </c>
      <c r="S19" s="18" t="s">
        <v>41</v>
      </c>
      <c r="T19" s="18" t="s">
        <v>42</v>
      </c>
      <c r="U19" s="18" t="s">
        <v>43</v>
      </c>
      <c r="V19" s="18" t="s">
        <v>44</v>
      </c>
      <c r="W19" s="18" t="s">
        <v>45</v>
      </c>
      <c r="X19" s="18" t="s">
        <v>46</v>
      </c>
      <c r="Z19" s="18" t="s">
        <v>41</v>
      </c>
      <c r="AA19" s="18" t="s">
        <v>42</v>
      </c>
      <c r="AB19" s="18" t="s">
        <v>43</v>
      </c>
      <c r="AC19" s="18" t="s">
        <v>44</v>
      </c>
      <c r="AD19" s="18" t="s">
        <v>45</v>
      </c>
      <c r="AE19" s="18" t="s">
        <v>46</v>
      </c>
    </row>
    <row r="20" spans="1:31" x14ac:dyDescent="0.25">
      <c r="B20" t="s">
        <v>35</v>
      </c>
      <c r="C20">
        <f>C4-C9</f>
        <v>236</v>
      </c>
      <c r="E20" s="19">
        <f>C20/6</f>
        <v>39.333333333333336</v>
      </c>
      <c r="F20" s="19">
        <f>E20</f>
        <v>39.333333333333336</v>
      </c>
      <c r="G20" s="19">
        <f>F20</f>
        <v>39.333333333333336</v>
      </c>
      <c r="H20" s="19">
        <f>G20</f>
        <v>39.333333333333336</v>
      </c>
      <c r="I20" s="19">
        <f>H20</f>
        <v>39.333333333333336</v>
      </c>
      <c r="J20" s="19">
        <f>I20</f>
        <v>39.333333333333336</v>
      </c>
      <c r="K20" t="s">
        <v>88</v>
      </c>
      <c r="L20" s="19" t="s">
        <v>89</v>
      </c>
      <c r="M20" s="19" t="s">
        <v>89</v>
      </c>
      <c r="N20" s="19" t="s">
        <v>89</v>
      </c>
      <c r="O20" s="19" t="s">
        <v>89</v>
      </c>
      <c r="P20" s="19" t="s">
        <v>89</v>
      </c>
      <c r="Q20" s="19" t="s">
        <v>89</v>
      </c>
      <c r="S20" s="19" t="s">
        <v>90</v>
      </c>
      <c r="T20" s="19" t="s">
        <v>90</v>
      </c>
      <c r="U20" s="19" t="s">
        <v>90</v>
      </c>
      <c r="V20" s="19" t="s">
        <v>90</v>
      </c>
      <c r="W20" s="19" t="s">
        <v>90</v>
      </c>
      <c r="X20" s="19" t="s">
        <v>90</v>
      </c>
      <c r="Z20" s="19">
        <v>23</v>
      </c>
      <c r="AA20" s="19">
        <f>Z20</f>
        <v>23</v>
      </c>
      <c r="AB20" s="19">
        <f>AA20</f>
        <v>23</v>
      </c>
      <c r="AC20" s="19">
        <f>AB20</f>
        <v>23</v>
      </c>
      <c r="AD20" s="19">
        <f>AC20</f>
        <v>23</v>
      </c>
      <c r="AE20" s="19">
        <f>AD20</f>
        <v>23</v>
      </c>
    </row>
    <row r="22" spans="1:31" x14ac:dyDescent="0.25">
      <c r="A22" t="s">
        <v>47</v>
      </c>
      <c r="B22">
        <f>C20+C9</f>
        <v>736</v>
      </c>
    </row>
    <row r="29" spans="1:31" x14ac:dyDescent="0.25">
      <c r="B29" t="s">
        <v>48</v>
      </c>
      <c r="C29" t="s">
        <v>49</v>
      </c>
      <c r="E29" s="43" t="s">
        <v>78</v>
      </c>
      <c r="F29" s="43" t="s">
        <v>79</v>
      </c>
      <c r="G29" s="43" t="s">
        <v>80</v>
      </c>
      <c r="H29" s="43" t="s">
        <v>81</v>
      </c>
      <c r="I29" s="43" t="s">
        <v>82</v>
      </c>
      <c r="J29" s="43" t="s">
        <v>83</v>
      </c>
      <c r="K29" s="43" t="s">
        <v>84</v>
      </c>
      <c r="L29" s="43" t="s">
        <v>85</v>
      </c>
      <c r="M29" s="43" t="s">
        <v>86</v>
      </c>
      <c r="N29" s="43" t="s">
        <v>87</v>
      </c>
    </row>
    <row r="30" spans="1:31" x14ac:dyDescent="0.25">
      <c r="C30">
        <v>150</v>
      </c>
      <c r="E30">
        <f>C30/10</f>
        <v>15</v>
      </c>
      <c r="F30">
        <f t="shared" ref="F30:N30" si="0">E30</f>
        <v>15</v>
      </c>
      <c r="G30">
        <f t="shared" si="0"/>
        <v>15</v>
      </c>
      <c r="H30">
        <f t="shared" si="0"/>
        <v>15</v>
      </c>
      <c r="I30">
        <f t="shared" si="0"/>
        <v>15</v>
      </c>
      <c r="J30">
        <f t="shared" si="0"/>
        <v>15</v>
      </c>
      <c r="K30">
        <f t="shared" si="0"/>
        <v>15</v>
      </c>
      <c r="L30">
        <f t="shared" si="0"/>
        <v>15</v>
      </c>
      <c r="M30">
        <f t="shared" si="0"/>
        <v>15</v>
      </c>
      <c r="N30">
        <f t="shared" si="0"/>
        <v>15</v>
      </c>
    </row>
    <row r="31" spans="1:31" x14ac:dyDescent="0.25">
      <c r="E31">
        <v>85</v>
      </c>
      <c r="F31">
        <v>85</v>
      </c>
      <c r="G31">
        <v>85</v>
      </c>
      <c r="H31">
        <v>85</v>
      </c>
      <c r="I31">
        <v>85</v>
      </c>
      <c r="J31">
        <v>85</v>
      </c>
      <c r="K31">
        <v>85</v>
      </c>
      <c r="L31">
        <v>85</v>
      </c>
      <c r="M31">
        <v>85</v>
      </c>
      <c r="N31">
        <v>85</v>
      </c>
    </row>
    <row r="38" spans="3:3" x14ac:dyDescent="0.25">
      <c r="C38" s="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786E-1AE4-49C0-9096-A395B5FF6B51}">
  <dimension ref="A3:AE38"/>
  <sheetViews>
    <sheetView topLeftCell="A10" workbookViewId="0">
      <selection activeCell="E20" sqref="E20"/>
    </sheetView>
  </sheetViews>
  <sheetFormatPr defaultRowHeight="15" x14ac:dyDescent="0.25"/>
  <cols>
    <col min="2" max="2" width="9.85546875" bestFit="1" customWidth="1"/>
    <col min="3" max="3" width="9.5703125" bestFit="1" customWidth="1"/>
  </cols>
  <sheetData>
    <row r="3" spans="2:29" x14ac:dyDescent="0.25">
      <c r="B3" t="s">
        <v>24</v>
      </c>
      <c r="C3" t="s">
        <v>25</v>
      </c>
      <c r="D3" t="s">
        <v>26</v>
      </c>
      <c r="E3" t="s">
        <v>12</v>
      </c>
      <c r="F3" t="s">
        <v>13</v>
      </c>
      <c r="G3" t="s">
        <v>14</v>
      </c>
      <c r="H3" t="s">
        <v>11</v>
      </c>
      <c r="I3" t="s">
        <v>12</v>
      </c>
      <c r="J3" t="s">
        <v>13</v>
      </c>
    </row>
    <row r="4" spans="2:29" x14ac:dyDescent="0.25">
      <c r="B4">
        <v>2056</v>
      </c>
      <c r="C4">
        <v>736</v>
      </c>
      <c r="D4">
        <v>300</v>
      </c>
      <c r="E4">
        <v>500</v>
      </c>
      <c r="F4">
        <v>600</v>
      </c>
      <c r="G4">
        <v>700</v>
      </c>
      <c r="H4">
        <v>800</v>
      </c>
      <c r="I4">
        <v>900</v>
      </c>
      <c r="J4">
        <v>1000</v>
      </c>
    </row>
    <row r="5" spans="2:29" x14ac:dyDescent="0.25">
      <c r="B5">
        <v>2057</v>
      </c>
      <c r="C5">
        <v>715</v>
      </c>
      <c r="D5">
        <v>300</v>
      </c>
      <c r="E5">
        <v>453</v>
      </c>
      <c r="F5">
        <v>600</v>
      </c>
      <c r="G5">
        <v>700</v>
      </c>
      <c r="H5">
        <v>800</v>
      </c>
      <c r="I5">
        <v>900</v>
      </c>
      <c r="J5">
        <v>1000</v>
      </c>
    </row>
    <row r="7" spans="2:29" x14ac:dyDescent="0.25">
      <c r="E7" t="s">
        <v>27</v>
      </c>
      <c r="L7" t="s">
        <v>28</v>
      </c>
      <c r="S7" t="s">
        <v>29</v>
      </c>
      <c r="Z7" t="s">
        <v>30</v>
      </c>
    </row>
    <row r="8" spans="2:29" x14ac:dyDescent="0.25">
      <c r="B8" t="s">
        <v>3</v>
      </c>
      <c r="C8" t="s">
        <v>31</v>
      </c>
      <c r="E8" t="s">
        <v>32</v>
      </c>
      <c r="L8" t="s">
        <v>33</v>
      </c>
      <c r="S8" t="s">
        <v>34</v>
      </c>
      <c r="Z8" t="s">
        <v>32</v>
      </c>
    </row>
    <row r="9" spans="2:29" x14ac:dyDescent="0.25">
      <c r="B9" t="s">
        <v>35</v>
      </c>
      <c r="C9">
        <f>D4*2</f>
        <v>600</v>
      </c>
      <c r="E9" s="15" t="s">
        <v>11</v>
      </c>
      <c r="F9" s="15" t="s">
        <v>12</v>
      </c>
      <c r="G9" s="15" t="s">
        <v>13</v>
      </c>
      <c r="H9" s="15" t="s">
        <v>14</v>
      </c>
      <c r="L9" s="15" t="s">
        <v>11</v>
      </c>
      <c r="M9" s="15" t="s">
        <v>12</v>
      </c>
      <c r="N9" s="15" t="s">
        <v>13</v>
      </c>
      <c r="O9" s="15" t="s">
        <v>14</v>
      </c>
      <c r="S9" s="15" t="s">
        <v>11</v>
      </c>
      <c r="T9" s="15" t="s">
        <v>12</v>
      </c>
      <c r="U9" s="15" t="s">
        <v>13</v>
      </c>
      <c r="V9" s="15" t="s">
        <v>14</v>
      </c>
      <c r="Z9" s="15" t="s">
        <v>11</v>
      </c>
      <c r="AA9" s="15" t="s">
        <v>12</v>
      </c>
      <c r="AB9" s="15" t="s">
        <v>13</v>
      </c>
      <c r="AC9" s="15" t="s">
        <v>14</v>
      </c>
    </row>
    <row r="10" spans="2:29" x14ac:dyDescent="0.25">
      <c r="B10" t="s">
        <v>36</v>
      </c>
      <c r="C10" s="1">
        <f>ROUND(C4/3,0)</f>
        <v>245</v>
      </c>
      <c r="E10" s="16" t="s">
        <v>36</v>
      </c>
      <c r="F10" s="17" t="s">
        <v>37</v>
      </c>
      <c r="G10" s="16" t="s">
        <v>36</v>
      </c>
      <c r="H10" s="17" t="s">
        <v>37</v>
      </c>
      <c r="L10" s="16" t="s">
        <v>38</v>
      </c>
      <c r="M10" s="17" t="s">
        <v>37</v>
      </c>
      <c r="N10" s="16" t="s">
        <v>38</v>
      </c>
      <c r="O10" s="17" t="s">
        <v>37</v>
      </c>
      <c r="S10" s="16" t="s">
        <v>36</v>
      </c>
      <c r="T10" s="17" t="s">
        <v>38</v>
      </c>
      <c r="U10" s="16" t="s">
        <v>36</v>
      </c>
      <c r="V10" s="17" t="s">
        <v>38</v>
      </c>
      <c r="Z10" s="16" t="s">
        <v>37</v>
      </c>
      <c r="AA10" s="17" t="s">
        <v>36</v>
      </c>
      <c r="AB10" s="16" t="s">
        <v>37</v>
      </c>
      <c r="AC10" s="17" t="s">
        <v>36</v>
      </c>
    </row>
    <row r="11" spans="2:29" x14ac:dyDescent="0.25">
      <c r="B11" t="s">
        <v>37</v>
      </c>
      <c r="C11" s="1">
        <f>ROUND(C4/3,0)</f>
        <v>245</v>
      </c>
      <c r="E11">
        <f>C10</f>
        <v>245</v>
      </c>
      <c r="F11">
        <f>C11</f>
        <v>245</v>
      </c>
      <c r="G11">
        <f>C10</f>
        <v>245</v>
      </c>
      <c r="H11">
        <f>C11</f>
        <v>245</v>
      </c>
      <c r="L11">
        <f>C20</f>
        <v>246</v>
      </c>
      <c r="M11">
        <f>C11</f>
        <v>245</v>
      </c>
      <c r="N11">
        <f>C20</f>
        <v>246</v>
      </c>
      <c r="O11">
        <f>C11</f>
        <v>245</v>
      </c>
      <c r="S11">
        <f>C10</f>
        <v>245</v>
      </c>
      <c r="T11">
        <f>C20</f>
        <v>246</v>
      </c>
      <c r="U11">
        <f>C10</f>
        <v>245</v>
      </c>
      <c r="V11">
        <f>C20</f>
        <v>246</v>
      </c>
      <c r="Z11" s="1">
        <f>C11</f>
        <v>245</v>
      </c>
      <c r="AA11" s="1">
        <f>C10</f>
        <v>245</v>
      </c>
      <c r="AB11" s="1">
        <f>Z11</f>
        <v>245</v>
      </c>
      <c r="AC11" s="1">
        <f>AA11</f>
        <v>245</v>
      </c>
    </row>
    <row r="18" spans="1:31" x14ac:dyDescent="0.25">
      <c r="L18" t="s">
        <v>36</v>
      </c>
      <c r="S18" t="s">
        <v>37</v>
      </c>
      <c r="Z18" t="s">
        <v>38</v>
      </c>
    </row>
    <row r="19" spans="1:31" x14ac:dyDescent="0.25">
      <c r="B19" t="s">
        <v>39</v>
      </c>
      <c r="C19" t="s">
        <v>40</v>
      </c>
      <c r="E19" s="18" t="s">
        <v>41</v>
      </c>
      <c r="F19" s="18" t="s">
        <v>42</v>
      </c>
      <c r="G19" s="18" t="s">
        <v>43</v>
      </c>
      <c r="H19" s="18" t="s">
        <v>44</v>
      </c>
      <c r="I19" s="18" t="s">
        <v>45</v>
      </c>
      <c r="J19" s="18" t="s">
        <v>46</v>
      </c>
      <c r="L19" s="18" t="s">
        <v>41</v>
      </c>
      <c r="M19" s="18" t="s">
        <v>42</v>
      </c>
      <c r="N19" s="18" t="s">
        <v>43</v>
      </c>
      <c r="O19" s="18" t="s">
        <v>44</v>
      </c>
      <c r="P19" s="18" t="s">
        <v>45</v>
      </c>
      <c r="Q19" s="18" t="s">
        <v>46</v>
      </c>
      <c r="S19" s="18" t="s">
        <v>41</v>
      </c>
      <c r="T19" s="18" t="s">
        <v>42</v>
      </c>
      <c r="U19" s="18" t="s">
        <v>43</v>
      </c>
      <c r="V19" s="18" t="s">
        <v>44</v>
      </c>
      <c r="W19" s="18" t="s">
        <v>45</v>
      </c>
      <c r="X19" s="18" t="s">
        <v>46</v>
      </c>
      <c r="Z19" s="18" t="s">
        <v>41</v>
      </c>
      <c r="AA19" s="18" t="s">
        <v>42</v>
      </c>
      <c r="AB19" s="18" t="s">
        <v>43</v>
      </c>
      <c r="AC19" s="18" t="s">
        <v>44</v>
      </c>
      <c r="AD19" s="18" t="s">
        <v>45</v>
      </c>
      <c r="AE19" s="18" t="s">
        <v>46</v>
      </c>
    </row>
    <row r="20" spans="1:31" x14ac:dyDescent="0.25">
      <c r="B20" t="s">
        <v>35</v>
      </c>
      <c r="C20" s="1">
        <f>C4-(C10+C11)</f>
        <v>246</v>
      </c>
      <c r="E20" s="19">
        <f>C20/6</f>
        <v>41</v>
      </c>
      <c r="F20" s="19">
        <f>E20</f>
        <v>41</v>
      </c>
      <c r="G20" s="19">
        <f>F20</f>
        <v>41</v>
      </c>
      <c r="H20" s="19">
        <f>G20</f>
        <v>41</v>
      </c>
      <c r="I20" s="19">
        <f>H20</f>
        <v>41</v>
      </c>
      <c r="J20" s="19">
        <f>I20</f>
        <v>41</v>
      </c>
      <c r="K20" t="s">
        <v>88</v>
      </c>
      <c r="L20" s="19">
        <f>$C$10/5</f>
        <v>49</v>
      </c>
      <c r="M20" s="19">
        <f t="shared" ref="M20:Q20" si="0">$C$10/5</f>
        <v>49</v>
      </c>
      <c r="N20" s="19">
        <f t="shared" si="0"/>
        <v>49</v>
      </c>
      <c r="O20" s="19">
        <f t="shared" si="0"/>
        <v>49</v>
      </c>
      <c r="P20" s="19">
        <f t="shared" si="0"/>
        <v>49</v>
      </c>
      <c r="Q20" s="19">
        <f t="shared" si="0"/>
        <v>49</v>
      </c>
      <c r="S20" s="19">
        <f>$C$11/5</f>
        <v>49</v>
      </c>
      <c r="T20" s="19">
        <f t="shared" ref="T20:X20" si="1">$C$11/5</f>
        <v>49</v>
      </c>
      <c r="U20" s="19">
        <f t="shared" si="1"/>
        <v>49</v>
      </c>
      <c r="V20" s="19">
        <f t="shared" si="1"/>
        <v>49</v>
      </c>
      <c r="W20" s="19">
        <f t="shared" si="1"/>
        <v>49</v>
      </c>
      <c r="X20" s="19">
        <f t="shared" si="1"/>
        <v>49</v>
      </c>
      <c r="Z20" s="19">
        <f>E20</f>
        <v>41</v>
      </c>
      <c r="AA20" s="19">
        <f>Z20</f>
        <v>41</v>
      </c>
      <c r="AB20" s="19">
        <f>AA20</f>
        <v>41</v>
      </c>
      <c r="AC20" s="19">
        <f>AB20</f>
        <v>41</v>
      </c>
      <c r="AD20" s="19">
        <f>AC20</f>
        <v>41</v>
      </c>
      <c r="AE20" s="19">
        <f>AD20</f>
        <v>41</v>
      </c>
    </row>
    <row r="22" spans="1:31" x14ac:dyDescent="0.25">
      <c r="A22" t="s">
        <v>47</v>
      </c>
      <c r="B22">
        <f>C20+C9</f>
        <v>846</v>
      </c>
    </row>
    <row r="29" spans="1:31" x14ac:dyDescent="0.25">
      <c r="B29" t="s">
        <v>48</v>
      </c>
      <c r="C29" t="s">
        <v>49</v>
      </c>
      <c r="E29" s="43" t="s">
        <v>78</v>
      </c>
      <c r="F29" s="43" t="s">
        <v>79</v>
      </c>
      <c r="G29" s="43" t="s">
        <v>80</v>
      </c>
      <c r="H29" s="43" t="s">
        <v>81</v>
      </c>
      <c r="I29" s="43" t="s">
        <v>82</v>
      </c>
      <c r="J29" s="43" t="s">
        <v>83</v>
      </c>
      <c r="K29" s="43" t="s">
        <v>84</v>
      </c>
      <c r="L29" s="43" t="s">
        <v>85</v>
      </c>
      <c r="M29" s="43" t="s">
        <v>86</v>
      </c>
      <c r="N29" s="43" t="s">
        <v>87</v>
      </c>
    </row>
    <row r="30" spans="1:31" x14ac:dyDescent="0.25">
      <c r="C30">
        <v>150</v>
      </c>
      <c r="E30">
        <f>C30/10</f>
        <v>15</v>
      </c>
      <c r="F30">
        <f t="shared" ref="F30:N30" si="2">E30</f>
        <v>15</v>
      </c>
      <c r="G30">
        <f t="shared" si="2"/>
        <v>15</v>
      </c>
      <c r="H30">
        <f t="shared" si="2"/>
        <v>15</v>
      </c>
      <c r="I30">
        <f t="shared" si="2"/>
        <v>15</v>
      </c>
      <c r="J30">
        <f t="shared" si="2"/>
        <v>15</v>
      </c>
      <c r="K30">
        <f t="shared" si="2"/>
        <v>15</v>
      </c>
      <c r="L30">
        <f t="shared" si="2"/>
        <v>15</v>
      </c>
      <c r="M30">
        <f t="shared" si="2"/>
        <v>15</v>
      </c>
      <c r="N30">
        <f t="shared" si="2"/>
        <v>15</v>
      </c>
    </row>
    <row r="31" spans="1:31" x14ac:dyDescent="0.25">
      <c r="E31">
        <v>85</v>
      </c>
      <c r="F31">
        <v>85</v>
      </c>
      <c r="G31">
        <v>85</v>
      </c>
      <c r="H31">
        <v>85</v>
      </c>
      <c r="I31">
        <v>85</v>
      </c>
      <c r="J31">
        <v>85</v>
      </c>
      <c r="K31">
        <v>85</v>
      </c>
      <c r="L31">
        <v>85</v>
      </c>
      <c r="M31">
        <v>85</v>
      </c>
      <c r="N31">
        <v>85</v>
      </c>
    </row>
    <row r="38" spans="3:3" x14ac:dyDescent="0.25"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by_friday</vt:lpstr>
      <vt:lpstr>by_3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faruq izah al afghani</cp:lastModifiedBy>
  <dcterms:created xsi:type="dcterms:W3CDTF">2025-07-31T03:24:15Z</dcterms:created>
  <dcterms:modified xsi:type="dcterms:W3CDTF">2025-10-02T11:18:16Z</dcterms:modified>
</cp:coreProperties>
</file>