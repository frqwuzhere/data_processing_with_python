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isra holding company\untuk cs\Laporan Harian\"/>
    </mc:Choice>
  </mc:AlternateContent>
  <xr:revisionPtr revIDLastSave="0" documentId="13_ncr:1_{C0CDFD92-8B43-4490-8BB8-D0C46170649F}" xr6:coauthVersionLast="47" xr6:coauthVersionMax="47" xr10:uidLastSave="{00000000-0000-0000-0000-000000000000}"/>
  <bookViews>
    <workbookView xWindow="-120" yWindow="330" windowWidth="20730" windowHeight="11310" firstSheet="2" activeTab="3" xr2:uid="{00000000-000D-0000-FFFF-FFFF00000000}"/>
  </bookViews>
  <sheets>
    <sheet name="Prospek Harian (CS)" sheetId="2" state="hidden" r:id="rId1"/>
    <sheet name="Rekap Prospek Harian (CS)" sheetId="3" state="hidden" r:id="rId2"/>
    <sheet name="Dashboard Monitoring" sheetId="5" r:id="rId3"/>
    <sheet name="Dashborad Evaluasi" sheetId="10" r:id="rId4"/>
    <sheet name="Target Harian" sheetId="13" r:id="rId5"/>
    <sheet name="Analisis" sheetId="12" r:id="rId6"/>
    <sheet name="Corrective Action" sheetId="9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0" l="1"/>
  <c r="C16" i="10"/>
  <c r="C17" i="10"/>
  <c r="C15" i="10"/>
  <c r="E8" i="10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4" i="13"/>
  <c r="N17" i="10"/>
  <c r="N15" i="10"/>
  <c r="N18" i="10" s="1"/>
  <c r="N8" i="10"/>
  <c r="N9" i="10" s="1"/>
  <c r="I8" i="5"/>
  <c r="J8" i="5" s="1"/>
  <c r="R39" i="10"/>
  <c r="Q39" i="10"/>
  <c r="R31" i="10"/>
  <c r="Q31" i="10"/>
  <c r="K39" i="10"/>
  <c r="L39" i="10"/>
  <c r="L31" i="10"/>
  <c r="K31" i="10"/>
  <c r="D46" i="10"/>
  <c r="C46" i="10"/>
  <c r="D39" i="10"/>
  <c r="C39" i="10"/>
  <c r="D32" i="10"/>
  <c r="C32" i="10"/>
  <c r="R18" i="10"/>
  <c r="Q18" i="10"/>
  <c r="S17" i="10"/>
  <c r="S15" i="10"/>
  <c r="R9" i="10"/>
  <c r="Q9" i="10"/>
  <c r="S8" i="10"/>
  <c r="M17" i="10"/>
  <c r="M15" i="10"/>
  <c r="L18" i="10"/>
  <c r="K18" i="10"/>
  <c r="L9" i="10"/>
  <c r="K9" i="10"/>
  <c r="M8" i="10"/>
  <c r="F24" i="10"/>
  <c r="D24" i="10"/>
  <c r="C24" i="10"/>
  <c r="H23" i="10"/>
  <c r="G23" i="10"/>
  <c r="E23" i="10"/>
  <c r="F18" i="10"/>
  <c r="D18" i="10"/>
  <c r="C18" i="10"/>
  <c r="H17" i="10"/>
  <c r="G17" i="10"/>
  <c r="E17" i="10"/>
  <c r="H15" i="10"/>
  <c r="G15" i="10"/>
  <c r="E15" i="10"/>
  <c r="H9" i="10"/>
  <c r="H8" i="10"/>
  <c r="G9" i="10"/>
  <c r="G8" i="10"/>
  <c r="F10" i="10"/>
  <c r="E9" i="10"/>
  <c r="D10" i="10"/>
  <c r="C10" i="10"/>
  <c r="L12" i="5"/>
  <c r="I9" i="5"/>
  <c r="J9" i="5" s="1"/>
  <c r="I10" i="5"/>
  <c r="J10" i="5" s="1"/>
  <c r="I11" i="5"/>
  <c r="J11" i="5" s="1"/>
  <c r="I14" i="5"/>
  <c r="J14" i="5" s="1"/>
  <c r="I15" i="5"/>
  <c r="J15" i="5" s="1"/>
  <c r="I16" i="5"/>
  <c r="J16" i="5" s="1"/>
  <c r="I17" i="5"/>
  <c r="J17" i="5" s="1"/>
  <c r="I18" i="5"/>
  <c r="J18" i="5" s="1"/>
  <c r="I19" i="5"/>
  <c r="J19" i="5" s="1"/>
  <c r="I20" i="5"/>
  <c r="J20" i="5" s="1"/>
  <c r="I21" i="5"/>
  <c r="J21" i="5" s="1"/>
  <c r="I22" i="5"/>
  <c r="J22" i="5" s="1"/>
  <c r="I23" i="5"/>
  <c r="J23" i="5" s="1"/>
  <c r="I24" i="5"/>
  <c r="J24" i="5"/>
  <c r="I25" i="5"/>
  <c r="J25" i="5" s="1"/>
  <c r="I26" i="5"/>
  <c r="J26" i="5" s="1"/>
  <c r="I27" i="5"/>
  <c r="J27" i="5" s="1"/>
  <c r="I28" i="5"/>
  <c r="J28" i="5" s="1"/>
  <c r="I29" i="5"/>
  <c r="J29" i="5" s="1"/>
  <c r="I30" i="5"/>
  <c r="J30" i="5" s="1"/>
  <c r="I31" i="5"/>
  <c r="J31" i="5" s="1"/>
  <c r="I32" i="5"/>
  <c r="J32" i="5" s="1"/>
  <c r="I33" i="5"/>
  <c r="J33" i="5" s="1"/>
  <c r="I34" i="5"/>
  <c r="J34" i="5" s="1"/>
  <c r="I35" i="5"/>
  <c r="J35" i="5" s="1"/>
  <c r="I36" i="5"/>
  <c r="J36" i="5"/>
  <c r="I37" i="5"/>
  <c r="J37" i="5" s="1"/>
  <c r="I38" i="5"/>
  <c r="J38" i="5" s="1"/>
  <c r="G4" i="3"/>
  <c r="F5" i="2"/>
  <c r="M8" i="5"/>
  <c r="L8" i="5"/>
  <c r="S18" i="10" l="1"/>
  <c r="S9" i="10"/>
  <c r="M18" i="10"/>
  <c r="E10" i="10"/>
  <c r="E24" i="10"/>
  <c r="H18" i="10"/>
  <c r="G10" i="10"/>
  <c r="G18" i="10"/>
  <c r="G24" i="10"/>
  <c r="H24" i="10"/>
  <c r="M9" i="10"/>
  <c r="H10" i="10"/>
  <c r="E18" i="10"/>
  <c r="L39" i="5"/>
  <c r="M39" i="5"/>
  <c r="L9" i="5"/>
  <c r="M9" i="5"/>
  <c r="L10" i="5"/>
  <c r="M10" i="5"/>
  <c r="L11" i="5"/>
  <c r="M11" i="5"/>
  <c r="M12" i="5"/>
  <c r="L13" i="5"/>
  <c r="M13" i="5"/>
  <c r="L14" i="5"/>
  <c r="M14" i="5"/>
  <c r="L15" i="5"/>
  <c r="M15" i="5"/>
  <c r="L16" i="5"/>
  <c r="M16" i="5"/>
  <c r="L17" i="5"/>
  <c r="M17" i="5"/>
  <c r="L18" i="5"/>
  <c r="M18" i="5"/>
  <c r="L19" i="5"/>
  <c r="M19" i="5"/>
  <c r="L20" i="5"/>
  <c r="M20" i="5"/>
  <c r="L21" i="5"/>
  <c r="M21" i="5"/>
  <c r="L22" i="5"/>
  <c r="M22" i="5"/>
  <c r="L23" i="5"/>
  <c r="M23" i="5"/>
  <c r="L24" i="5"/>
  <c r="M24" i="5"/>
  <c r="L25" i="5"/>
  <c r="M25" i="5"/>
  <c r="L26" i="5"/>
  <c r="M26" i="5"/>
  <c r="L27" i="5"/>
  <c r="M27" i="5"/>
  <c r="L28" i="5"/>
  <c r="M28" i="5"/>
  <c r="L29" i="5"/>
  <c r="M29" i="5"/>
  <c r="L30" i="5"/>
  <c r="M30" i="5"/>
  <c r="L31" i="5"/>
  <c r="M31" i="5"/>
  <c r="L32" i="5"/>
  <c r="M32" i="5"/>
  <c r="L33" i="5"/>
  <c r="M33" i="5"/>
  <c r="L34" i="5"/>
  <c r="M34" i="5"/>
  <c r="L35" i="5"/>
  <c r="M35" i="5"/>
  <c r="L36" i="5"/>
  <c r="M36" i="5"/>
  <c r="L37" i="5"/>
  <c r="M37" i="5"/>
  <c r="L38" i="5"/>
  <c r="M38" i="5"/>
  <c r="J35" i="2" l="1"/>
  <c r="K35" i="2"/>
  <c r="L35" i="2"/>
  <c r="G35" i="2"/>
  <c r="H35" i="2"/>
  <c r="I3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6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isi oleh finance</t>
        </r>
      </text>
    </comment>
    <comment ref="D6" authorId="0" shapeId="0" xr:uid="{C067AEB6-5E36-4C86-B3CE-EBF288428552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isi oleh Web Admin</t>
        </r>
      </text>
    </comment>
    <comment ref="H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isi oleh crm</t>
        </r>
      </text>
    </comment>
    <comment ref="K6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Di isi oleh advertiser</t>
        </r>
      </text>
    </comment>
  </commentList>
</comments>
</file>

<file path=xl/sharedStrings.xml><?xml version="1.0" encoding="utf-8"?>
<sst xmlns="http://schemas.openxmlformats.org/spreadsheetml/2006/main" count="390" uniqueCount="188">
  <si>
    <t>Tanggal</t>
  </si>
  <si>
    <t>Nama Donatur</t>
  </si>
  <si>
    <t>Program</t>
  </si>
  <si>
    <t>Jumlah Donasi</t>
  </si>
  <si>
    <t>Channel Pembayaran</t>
  </si>
  <si>
    <t>Whatsapp</t>
  </si>
  <si>
    <t>LAPORAN HIMPUNAN DONASI CRM JUNI</t>
  </si>
  <si>
    <t xml:space="preserve">Tanggal </t>
  </si>
  <si>
    <t>Valid</t>
  </si>
  <si>
    <t>Tidak Valid</t>
  </si>
  <si>
    <t>Terkirim</t>
  </si>
  <si>
    <t>Gagal</t>
  </si>
  <si>
    <t>Ceklis 1</t>
  </si>
  <si>
    <t>KET :</t>
  </si>
  <si>
    <t xml:space="preserve">1. Format laporan ini hanya diisi data donatur yang berdonasi (melakukan konfirmasi baik ke CS langsung ataupun info dari hasil tracing finance di data rekening koran) saja.   </t>
  </si>
  <si>
    <t>2. Jumlah list dapat disesuaikan dengan hasil yang diterima.</t>
  </si>
  <si>
    <t>2 Juni 2022</t>
  </si>
  <si>
    <t>Total Prospek</t>
  </si>
  <si>
    <t>1 juni 2022</t>
  </si>
  <si>
    <t>2 juni 2022</t>
  </si>
  <si>
    <t>3 juni 2022</t>
  </si>
  <si>
    <t>4 juni 2022</t>
  </si>
  <si>
    <t>5 juni 2022</t>
  </si>
  <si>
    <t>6 juni 2022</t>
  </si>
  <si>
    <t>7 juni 2022</t>
  </si>
  <si>
    <t>8 juni 2022</t>
  </si>
  <si>
    <t>9 juni 2022</t>
  </si>
  <si>
    <t>10 juni 2022</t>
  </si>
  <si>
    <t>11 juni 2022</t>
  </si>
  <si>
    <t>12 juni 2022</t>
  </si>
  <si>
    <t>13 juni 2022</t>
  </si>
  <si>
    <t>14 juni 2022</t>
  </si>
  <si>
    <t>15 juni 2022</t>
  </si>
  <si>
    <t>16 juni 2022</t>
  </si>
  <si>
    <t>17 juni 2022</t>
  </si>
  <si>
    <t>18 juni 2022</t>
  </si>
  <si>
    <t>19 juni 2022</t>
  </si>
  <si>
    <t>20 juni 2022</t>
  </si>
  <si>
    <t>21 juni 2022</t>
  </si>
  <si>
    <t>22 juni 2022</t>
  </si>
  <si>
    <t>23 juni 2022</t>
  </si>
  <si>
    <t>24 juni 2022</t>
  </si>
  <si>
    <t>25 juni 2022</t>
  </si>
  <si>
    <t>26 juni 2022</t>
  </si>
  <si>
    <t>27 juni 2022</t>
  </si>
  <si>
    <t>28 juni 2022</t>
  </si>
  <si>
    <t>29 juni 2022</t>
  </si>
  <si>
    <t>30 juni 2022</t>
  </si>
  <si>
    <t>TOTAL</t>
  </si>
  <si>
    <t>3. Setiap CS wajib mengisi format ini setiap hari</t>
  </si>
  <si>
    <t>Rekening  Koran</t>
  </si>
  <si>
    <t>Biaya Iklan</t>
  </si>
  <si>
    <t>Rate</t>
  </si>
  <si>
    <t>Balas</t>
  </si>
  <si>
    <t>Jumlah Transaksi</t>
  </si>
  <si>
    <t>Potensi Donasi</t>
  </si>
  <si>
    <t>Potensi Total</t>
  </si>
  <si>
    <t>2 Arah</t>
  </si>
  <si>
    <t>Dibaca</t>
  </si>
  <si>
    <t>Tidak terkirim</t>
  </si>
  <si>
    <t>Catatan</t>
  </si>
  <si>
    <t>Realisasi Daily Activity</t>
  </si>
  <si>
    <t>Work Plan Daily Activity</t>
  </si>
  <si>
    <t>Sedekah Air</t>
  </si>
  <si>
    <t>BCA</t>
  </si>
  <si>
    <t>Action</t>
  </si>
  <si>
    <t>SLA</t>
  </si>
  <si>
    <t>Status</t>
  </si>
  <si>
    <t>Corrective</t>
  </si>
  <si>
    <t>pic</t>
  </si>
  <si>
    <t>user</t>
  </si>
  <si>
    <t>Keterangan</t>
  </si>
  <si>
    <t>1 Arah</t>
  </si>
  <si>
    <t>ROAS</t>
  </si>
  <si>
    <t xml:space="preserve">LAPORAN HIMPUNAN HARIAN </t>
  </si>
  <si>
    <t>Himpunan Web</t>
  </si>
  <si>
    <t xml:space="preserve"> Himpunan CRM</t>
  </si>
  <si>
    <t>Total Web + CRM</t>
  </si>
  <si>
    <t>Un identified</t>
  </si>
  <si>
    <t>Dewi</t>
  </si>
  <si>
    <t>08xxx</t>
  </si>
  <si>
    <t>Budi</t>
  </si>
  <si>
    <t>Alex</t>
  </si>
  <si>
    <t>Minah</t>
  </si>
  <si>
    <t>Dadang</t>
  </si>
  <si>
    <t>Mesjid</t>
  </si>
  <si>
    <t xml:space="preserve">Jumlah Donatur </t>
  </si>
  <si>
    <t>Total Donasi</t>
  </si>
  <si>
    <t>dikirim laporan</t>
  </si>
  <si>
    <t>1 Februari 2025</t>
  </si>
  <si>
    <t>2 Februari 2025</t>
  </si>
  <si>
    <t>3 Februari 2025</t>
  </si>
  <si>
    <t>4 Februari 2025</t>
  </si>
  <si>
    <t>5 Februari 2025</t>
  </si>
  <si>
    <t>6 Februari 2025</t>
  </si>
  <si>
    <t>7 Februari 2025</t>
  </si>
  <si>
    <t>8 Februari 2025</t>
  </si>
  <si>
    <t>9 Februari 2025</t>
  </si>
  <si>
    <t>10 Februari 2025</t>
  </si>
  <si>
    <t>11 Februari 2025</t>
  </si>
  <si>
    <t>12 Februari 2025</t>
  </si>
  <si>
    <t>13 Februari 2025</t>
  </si>
  <si>
    <t>14 Februari 2025</t>
  </si>
  <si>
    <t>15 Februari 2025</t>
  </si>
  <si>
    <t>16 Februari 2025</t>
  </si>
  <si>
    <t>17 Februari 2025</t>
  </si>
  <si>
    <t>18 Februari 2025</t>
  </si>
  <si>
    <t>19 Februari 2025</t>
  </si>
  <si>
    <t>20 Februari 2025</t>
  </si>
  <si>
    <t>21 Februari 2025</t>
  </si>
  <si>
    <t>22 Februari 2025</t>
  </si>
  <si>
    <t>23 Februari 2025</t>
  </si>
  <si>
    <t>24 Februari 2025</t>
  </si>
  <si>
    <t>25 Februari 2025</t>
  </si>
  <si>
    <t>26 Februari 2025</t>
  </si>
  <si>
    <t>27 Februari 2025</t>
  </si>
  <si>
    <t>28 Februari 2025</t>
  </si>
  <si>
    <t>7 Februari2025</t>
  </si>
  <si>
    <t>TARGET</t>
  </si>
  <si>
    <t>HIMPUNAN</t>
  </si>
  <si>
    <t>%</t>
  </si>
  <si>
    <t>TIM</t>
  </si>
  <si>
    <t>ADS</t>
  </si>
  <si>
    <t>CS</t>
  </si>
  <si>
    <t>BIAYA IKLAN</t>
  </si>
  <si>
    <t>RATE</t>
  </si>
  <si>
    <t>Joko</t>
  </si>
  <si>
    <t>Advertiser</t>
  </si>
  <si>
    <t>Wati</t>
  </si>
  <si>
    <t>Murni</t>
  </si>
  <si>
    <t>Himpunan Dana Tim Fundraising 1 Februari - 28 Februari 2025</t>
  </si>
  <si>
    <t>Akuisisi</t>
  </si>
  <si>
    <t>Biaya Perakuisisi</t>
  </si>
  <si>
    <t>Sukses</t>
  </si>
  <si>
    <t>Waiting</t>
  </si>
  <si>
    <t>CRM</t>
  </si>
  <si>
    <t>Himpunan Dana Personal Fundraising CRM 1 Februari - 28 Februari 2025</t>
  </si>
  <si>
    <t>AKUISISI</t>
  </si>
  <si>
    <t>Akuisisi Tim  Fundraising Ads 1 Februari - 28 Februari 2025</t>
  </si>
  <si>
    <t>Akuisisi Personal Fundraising Ads1 Februari - 28 Februari 2025</t>
  </si>
  <si>
    <t>Aktivasi Tim  Fundraising CRM 1 Februari - 28 Februari 2025</t>
  </si>
  <si>
    <t>Aktivasi Personal Fundraising CRM1 Februari - 28 Februari 2025</t>
  </si>
  <si>
    <t>DASHBOARD UPDATE PERFORMANCE FUNDRAISING</t>
  </si>
  <si>
    <t>HIMPUNAN DANA</t>
  </si>
  <si>
    <t>AKUISISI DATA</t>
  </si>
  <si>
    <t>AKTIVASI DATA</t>
  </si>
  <si>
    <t>PERTUMBUHAN DANA</t>
  </si>
  <si>
    <t>JANUARI</t>
  </si>
  <si>
    <t>FEBRUARI</t>
  </si>
  <si>
    <t>GROWTH (%)</t>
  </si>
  <si>
    <t>Pertumbuhan Dana Tim Fundraising Februari 2025</t>
  </si>
  <si>
    <t>Pertumbuhan Dana Personal Fundraising Ads Februari 2025</t>
  </si>
  <si>
    <t>Pertumbuhan Dana Personal Fundraising CRM Februari 2025</t>
  </si>
  <si>
    <t>PERTUMBUHAN AKUISISI DATA</t>
  </si>
  <si>
    <t>PERTUMBUHAN AKTIVASI DATA</t>
  </si>
  <si>
    <t>Pertumbuhan Akuisisi Tim  Fundraising Ads Februari 2025</t>
  </si>
  <si>
    <t>Pertumbuhan Akuisisi Personal Fundraising Ads Februari 2025</t>
  </si>
  <si>
    <t>Pertumbuhan Akuisisi Tim  Fundraising CRM Februari 2025</t>
  </si>
  <si>
    <t>Pertumbuhan Akuisisi Personal Fundraising CRM Februari 2025</t>
  </si>
  <si>
    <t>REKAP HIMPUNAN DANA BULANAN</t>
  </si>
  <si>
    <t>BULAN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</si>
  <si>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</si>
  <si>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</si>
  <si>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</si>
  <si>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</si>
  <si>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</si>
  <si>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</si>
  <si>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</si>
  <si>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</si>
  <si>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</si>
  <si>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</si>
  <si>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Rekap Himpunan Dana Fundrasing Tahun 2025</t>
  </si>
  <si>
    <t>Rekap Himpunan Dana Fundrasing Ads Tahun 2025</t>
  </si>
  <si>
    <t>Rekap Himpunan Dana Fundrasing CRM Tahun 2025</t>
  </si>
  <si>
    <t>selanjutnya tambahkan rekap himpunan personal sesuai tim nya</t>
  </si>
  <si>
    <t>AKTIVASI</t>
  </si>
  <si>
    <t>1. Membandingkan data transaksi April VS Mei</t>
  </si>
  <si>
    <t>Tinjauan :</t>
  </si>
  <si>
    <t>2. Demografi jenis program</t>
  </si>
  <si>
    <t>1. Demografi besaran donasi &amp; transaksi</t>
  </si>
  <si>
    <t>3. Demografi payment channel</t>
  </si>
  <si>
    <t>4. Demografi Gender</t>
  </si>
  <si>
    <t>Target</t>
  </si>
  <si>
    <t>Dedi</t>
  </si>
  <si>
    <t>Fredo</t>
  </si>
  <si>
    <t>Alif</t>
  </si>
  <si>
    <t>Mizan</t>
  </si>
  <si>
    <t>Himpunan Dana Personal Fundraising Ads 26 Mei - 31 Mei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</si>
</sst>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9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vertical="top" wrapText="1"/>
    </xf>
    <xf numFmtId="0" fontId="0" fillId="3" borderId="2" xfId="0" applyFill="1" applyBorder="1"/>
    <xf numFmtId="0" fontId="0" fillId="2" borderId="5" xfId="0" applyFill="1" applyBorder="1"/>
    <xf numFmtId="0" fontId="0" fillId="2" borderId="2" xfId="0" applyFill="1" applyBorder="1"/>
    <xf numFmtId="165" fontId="0" fillId="2" borderId="1" xfId="1" applyNumberFormat="1" applyFont="1" applyFill="1" applyBorder="1"/>
    <xf numFmtId="0" fontId="4" fillId="2" borderId="0" xfId="0" applyFont="1" applyFill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3" borderId="1" xfId="0" applyFill="1" applyBorder="1"/>
    <xf numFmtId="0" fontId="2" fillId="6" borderId="6" xfId="0" applyFont="1" applyFill="1" applyBorder="1" applyAlignment="1">
      <alignment horizontal="center"/>
    </xf>
    <xf numFmtId="1" fontId="2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5" borderId="6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165" fontId="0" fillId="5" borderId="1" xfId="1" applyNumberFormat="1" applyFont="1" applyFill="1" applyBorder="1"/>
    <xf numFmtId="165" fontId="0" fillId="7" borderId="1" xfId="1" applyNumberFormat="1" applyFont="1" applyFill="1" applyBorder="1"/>
    <xf numFmtId="0" fontId="0" fillId="3" borderId="1" xfId="0" applyFill="1" applyBorder="1" applyAlignment="1">
      <alignment horizontal="center"/>
    </xf>
    <xf numFmtId="165" fontId="0" fillId="2" borderId="0" xfId="1" applyNumberFormat="1" applyFont="1" applyFill="1"/>
    <xf numFmtId="165" fontId="0" fillId="2" borderId="1" xfId="0" applyNumberFormat="1" applyFill="1" applyBorder="1"/>
    <xf numFmtId="9" fontId="0" fillId="2" borderId="1" xfId="2" applyFont="1" applyFill="1" applyBorder="1"/>
    <xf numFmtId="166" fontId="0" fillId="2" borderId="1" xfId="0" applyNumberFormat="1" applyFill="1" applyBorder="1"/>
    <xf numFmtId="0" fontId="2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2" fillId="8" borderId="0" xfId="0" applyFont="1" applyFill="1"/>
    <xf numFmtId="0" fontId="2" fillId="6" borderId="0" xfId="0" applyFont="1" applyFill="1"/>
    <xf numFmtId="0" fontId="2" fillId="9" borderId="0" xfId="0" applyFont="1" applyFill="1" applyAlignment="1">
      <alignment horizontal="left" vertical="center"/>
    </xf>
    <xf numFmtId="0" fontId="2" fillId="9" borderId="0" xfId="0" applyFont="1" applyFill="1"/>
    <xf numFmtId="0" fontId="2" fillId="3" borderId="0" xfId="0" applyFont="1" applyFill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14" fontId="0" fillId="0" borderId="0" xfId="0" applyNumberFormat="1"/>
    <xf numFmtId="41" fontId="0" fillId="0" borderId="0" xfId="3" applyFont="1"/>
    <xf numFmtId="41" fontId="0" fillId="0" borderId="0" xfId="0" applyNumberFormat="1"/>
    <xf numFmtId="0" fontId="2" fillId="7" borderId="3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left" vertical="top" wrapText="1"/>
    </xf>
    <xf numFmtId="0" fontId="4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1" fontId="0" fillId="0" borderId="1" xfId="0" applyNumberFormat="1" applyBorder="1" applyAlignment="1">
      <alignment horizontal="center" vertical="center"/>
    </xf>
  </cellXfs>
  <cellStyles count="4">
    <cellStyle name="Comma" xfId="1" builtinId="3"/>
    <cellStyle name="Comma [0]" xfId="3" builtinId="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3"/>
  <sheetViews>
    <sheetView workbookViewId="0">
      <selection activeCell="K4" sqref="K4"/>
    </sheetView>
  </sheetViews>
  <sheetFormatPr defaultRowHeight="15" x14ac:dyDescent="0.25"/>
  <cols>
    <col min="1" max="1" width="18.28515625" style="8" customWidth="1"/>
    <col min="2" max="2" width="28.7109375" style="1" customWidth="1"/>
    <col min="3" max="3" width="18.7109375" style="1" customWidth="1"/>
    <col min="4" max="4" width="19.28515625" style="1" customWidth="1"/>
    <col min="5" max="5" width="26.140625" style="1" customWidth="1"/>
    <col min="6" max="6" width="20.7109375" style="1" customWidth="1"/>
    <col min="7" max="7" width="6.28515625" style="1" customWidth="1"/>
    <col min="8" max="8" width="6.5703125" style="1" bestFit="1" customWidth="1"/>
    <col min="9" max="9" width="8.42578125" style="1" bestFit="1" customWidth="1"/>
    <col min="10" max="10" width="9.7109375" style="1" customWidth="1"/>
    <col min="11" max="11" width="14.140625" style="1" customWidth="1"/>
    <col min="12" max="12" width="15.85546875" style="1" customWidth="1"/>
    <col min="13" max="14" width="20.7109375" style="1" customWidth="1"/>
    <col min="15" max="15" width="42.140625" style="1" customWidth="1"/>
    <col min="16" max="16384" width="9.140625" style="1"/>
  </cols>
  <sheetData>
    <row r="1" spans="1:20" ht="18.75" x14ac:dyDescent="0.3">
      <c r="A1" s="54" t="s">
        <v>6</v>
      </c>
      <c r="B1" s="54"/>
      <c r="C1" s="54"/>
      <c r="D1" s="54"/>
      <c r="E1" s="54"/>
    </row>
    <row r="2" spans="1:20" ht="18.75" x14ac:dyDescent="0.3">
      <c r="A2" s="15"/>
      <c r="B2" s="15"/>
      <c r="C2" s="15"/>
      <c r="D2" s="15"/>
      <c r="E2" s="15"/>
    </row>
    <row r="3" spans="1:20" ht="18.75" x14ac:dyDescent="0.3">
      <c r="A3" s="57" t="s">
        <v>0</v>
      </c>
      <c r="B3" s="56" t="s">
        <v>62</v>
      </c>
      <c r="C3" s="56"/>
      <c r="D3" s="56"/>
      <c r="E3" s="56"/>
      <c r="F3" s="56"/>
      <c r="G3" s="58" t="s">
        <v>61</v>
      </c>
      <c r="H3" s="58"/>
      <c r="I3" s="58"/>
      <c r="J3" s="58"/>
      <c r="K3" s="58"/>
      <c r="L3" s="58"/>
      <c r="M3" s="58"/>
      <c r="N3" s="58"/>
      <c r="O3" s="58"/>
    </row>
    <row r="4" spans="1:20" s="5" customFormat="1" x14ac:dyDescent="0.25">
      <c r="A4" s="57"/>
      <c r="B4" s="20" t="s">
        <v>1</v>
      </c>
      <c r="C4" s="21" t="s">
        <v>5</v>
      </c>
      <c r="D4" s="22" t="s">
        <v>2</v>
      </c>
      <c r="E4" s="22" t="s">
        <v>55</v>
      </c>
      <c r="F4" s="23" t="s">
        <v>56</v>
      </c>
      <c r="G4" s="24" t="s">
        <v>72</v>
      </c>
      <c r="H4" s="24" t="s">
        <v>57</v>
      </c>
      <c r="I4" s="24" t="s">
        <v>10</v>
      </c>
      <c r="J4" s="24" t="s">
        <v>58</v>
      </c>
      <c r="K4" s="24" t="s">
        <v>59</v>
      </c>
      <c r="L4" s="24" t="s">
        <v>3</v>
      </c>
      <c r="M4" s="24" t="s">
        <v>2</v>
      </c>
      <c r="N4" s="24" t="s">
        <v>4</v>
      </c>
      <c r="O4" s="24" t="s">
        <v>60</v>
      </c>
    </row>
    <row r="5" spans="1:20" x14ac:dyDescent="0.25">
      <c r="A5" s="17" t="s">
        <v>117</v>
      </c>
      <c r="B5" s="16" t="s">
        <v>79</v>
      </c>
      <c r="C5" s="16" t="s">
        <v>80</v>
      </c>
      <c r="D5" s="16" t="s">
        <v>63</v>
      </c>
      <c r="E5" s="16">
        <v>100000</v>
      </c>
      <c r="F5" s="59">
        <f>SUM(E5:E34)</f>
        <v>350000</v>
      </c>
      <c r="G5" s="25"/>
      <c r="H5" s="18">
        <v>1</v>
      </c>
      <c r="I5" s="18">
        <v>1</v>
      </c>
      <c r="J5" s="18">
        <v>1</v>
      </c>
      <c r="K5" s="18"/>
      <c r="L5" s="28">
        <v>100000</v>
      </c>
      <c r="M5" s="18" t="s">
        <v>63</v>
      </c>
      <c r="N5" s="18" t="s">
        <v>64</v>
      </c>
      <c r="O5" s="18" t="s">
        <v>88</v>
      </c>
    </row>
    <row r="6" spans="1:20" x14ac:dyDescent="0.25">
      <c r="A6" s="17" t="s">
        <v>117</v>
      </c>
      <c r="B6" s="16" t="s">
        <v>81</v>
      </c>
      <c r="C6" s="16"/>
      <c r="D6" s="16"/>
      <c r="E6" s="16"/>
      <c r="F6" s="60"/>
      <c r="G6" s="25"/>
      <c r="H6" s="18">
        <v>1</v>
      </c>
      <c r="I6" s="18"/>
      <c r="J6" s="18"/>
      <c r="K6" s="18">
        <v>1</v>
      </c>
      <c r="L6" s="18"/>
      <c r="M6" s="18"/>
      <c r="N6" s="18"/>
      <c r="O6" s="18"/>
      <c r="Q6" s="1" t="s">
        <v>13</v>
      </c>
    </row>
    <row r="7" spans="1:20" ht="15" customHeight="1" x14ac:dyDescent="0.25">
      <c r="A7" s="17" t="s">
        <v>117</v>
      </c>
      <c r="B7" s="16" t="s">
        <v>82</v>
      </c>
      <c r="C7" s="16"/>
      <c r="D7" s="16" t="s">
        <v>85</v>
      </c>
      <c r="E7" s="16">
        <v>250000</v>
      </c>
      <c r="F7" s="60"/>
      <c r="G7" s="25"/>
      <c r="H7" s="18">
        <v>1</v>
      </c>
      <c r="I7" s="18"/>
      <c r="J7" s="18"/>
      <c r="K7" s="18"/>
      <c r="L7" s="18"/>
      <c r="M7" s="18"/>
      <c r="N7" s="18"/>
      <c r="O7" s="18"/>
      <c r="Q7" s="55" t="s">
        <v>14</v>
      </c>
      <c r="R7" s="55"/>
      <c r="S7" s="55"/>
      <c r="T7" s="55"/>
    </row>
    <row r="8" spans="1:20" x14ac:dyDescent="0.25">
      <c r="A8" s="17" t="s">
        <v>117</v>
      </c>
      <c r="B8" s="16" t="s">
        <v>83</v>
      </c>
      <c r="C8" s="16"/>
      <c r="D8" s="16"/>
      <c r="E8" s="16"/>
      <c r="F8" s="60"/>
      <c r="G8" s="25"/>
      <c r="H8" s="18">
        <v>1</v>
      </c>
      <c r="I8" s="18"/>
      <c r="J8" s="18"/>
      <c r="K8" s="18"/>
      <c r="L8" s="18"/>
      <c r="M8" s="18"/>
      <c r="N8" s="18"/>
      <c r="O8" s="18"/>
      <c r="Q8" s="55"/>
      <c r="R8" s="55"/>
      <c r="S8" s="55"/>
      <c r="T8" s="55"/>
    </row>
    <row r="9" spans="1:20" x14ac:dyDescent="0.25">
      <c r="A9" s="17" t="s">
        <v>117</v>
      </c>
      <c r="B9" s="16" t="s">
        <v>84</v>
      </c>
      <c r="C9" s="16"/>
      <c r="D9" s="16"/>
      <c r="E9" s="16"/>
      <c r="F9" s="60"/>
      <c r="G9" s="25"/>
      <c r="H9" s="18">
        <v>1</v>
      </c>
      <c r="I9" s="18"/>
      <c r="J9" s="18"/>
      <c r="K9" s="18"/>
      <c r="L9" s="18"/>
      <c r="M9" s="18"/>
      <c r="N9" s="18"/>
      <c r="O9" s="18"/>
      <c r="Q9" s="55"/>
      <c r="R9" s="55"/>
      <c r="S9" s="55"/>
      <c r="T9" s="55"/>
    </row>
    <row r="10" spans="1:20" x14ac:dyDescent="0.25">
      <c r="A10" s="17" t="s">
        <v>117</v>
      </c>
      <c r="B10" s="16"/>
      <c r="C10" s="16"/>
      <c r="D10" s="16"/>
      <c r="E10" s="16"/>
      <c r="F10" s="60"/>
      <c r="G10" s="25"/>
      <c r="H10" s="18"/>
      <c r="I10" s="18"/>
      <c r="J10" s="18"/>
      <c r="K10" s="18"/>
      <c r="L10" s="18"/>
      <c r="M10" s="18"/>
      <c r="N10" s="18"/>
      <c r="O10" s="18"/>
      <c r="Q10" s="55"/>
      <c r="R10" s="55"/>
      <c r="S10" s="55"/>
      <c r="T10" s="55"/>
    </row>
    <row r="11" spans="1:20" x14ac:dyDescent="0.25">
      <c r="A11" s="17" t="s">
        <v>117</v>
      </c>
      <c r="B11" s="16"/>
      <c r="C11" s="16"/>
      <c r="D11" s="16"/>
      <c r="E11" s="16"/>
      <c r="F11" s="60"/>
      <c r="G11" s="25"/>
      <c r="H11" s="18"/>
      <c r="I11" s="18"/>
      <c r="J11" s="18"/>
      <c r="K11" s="18"/>
      <c r="L11" s="18"/>
      <c r="M11" s="18"/>
      <c r="N11" s="18"/>
      <c r="O11" s="18"/>
      <c r="Q11" s="55"/>
      <c r="R11" s="55"/>
      <c r="S11" s="55"/>
      <c r="T11" s="55"/>
    </row>
    <row r="12" spans="1:20" x14ac:dyDescent="0.25">
      <c r="A12" s="17" t="s">
        <v>117</v>
      </c>
      <c r="B12" s="16"/>
      <c r="C12" s="16"/>
      <c r="D12" s="16"/>
      <c r="E12" s="16"/>
      <c r="F12" s="60"/>
      <c r="G12" s="25"/>
      <c r="H12" s="18"/>
      <c r="I12" s="18"/>
      <c r="J12" s="18"/>
      <c r="K12" s="18"/>
      <c r="L12" s="18"/>
      <c r="M12" s="18"/>
      <c r="N12" s="18"/>
      <c r="O12" s="18"/>
      <c r="Q12" s="55"/>
      <c r="R12" s="55"/>
      <c r="S12" s="55"/>
      <c r="T12" s="55"/>
    </row>
    <row r="13" spans="1:20" x14ac:dyDescent="0.25">
      <c r="A13" s="17" t="s">
        <v>117</v>
      </c>
      <c r="B13" s="16"/>
      <c r="C13" s="16"/>
      <c r="D13" s="16"/>
      <c r="E13" s="16"/>
      <c r="F13" s="60"/>
      <c r="G13" s="25"/>
      <c r="H13" s="18"/>
      <c r="I13" s="18"/>
      <c r="J13" s="18"/>
      <c r="K13" s="18"/>
      <c r="L13" s="18"/>
      <c r="M13" s="18"/>
      <c r="N13" s="18"/>
      <c r="O13" s="18"/>
      <c r="Q13" s="10"/>
      <c r="R13" s="10"/>
      <c r="S13" s="10"/>
      <c r="T13" s="10"/>
    </row>
    <row r="14" spans="1:20" ht="15" customHeight="1" x14ac:dyDescent="0.25">
      <c r="A14" s="17" t="s">
        <v>117</v>
      </c>
      <c r="B14" s="16"/>
      <c r="C14" s="16"/>
      <c r="D14" s="16"/>
      <c r="E14" s="16"/>
      <c r="F14" s="60"/>
      <c r="G14" s="25"/>
      <c r="H14" s="18"/>
      <c r="I14" s="18"/>
      <c r="J14" s="18"/>
      <c r="K14" s="18"/>
      <c r="L14" s="18"/>
      <c r="M14" s="18"/>
      <c r="N14" s="18"/>
      <c r="O14" s="18"/>
      <c r="Q14" s="55" t="s">
        <v>15</v>
      </c>
      <c r="R14" s="55"/>
      <c r="S14" s="55"/>
      <c r="T14" s="55"/>
    </row>
    <row r="15" spans="1:20" x14ac:dyDescent="0.25">
      <c r="A15" s="17" t="s">
        <v>117</v>
      </c>
      <c r="B15" s="16"/>
      <c r="C15" s="16"/>
      <c r="D15" s="16"/>
      <c r="E15" s="16"/>
      <c r="F15" s="60"/>
      <c r="G15" s="25"/>
      <c r="H15" s="18"/>
      <c r="I15" s="18"/>
      <c r="J15" s="18"/>
      <c r="K15" s="18"/>
      <c r="L15" s="18"/>
      <c r="M15" s="18"/>
      <c r="N15" s="18"/>
      <c r="O15" s="18"/>
      <c r="Q15" s="55"/>
      <c r="R15" s="55"/>
      <c r="S15" s="55"/>
      <c r="T15" s="55"/>
    </row>
    <row r="16" spans="1:20" x14ac:dyDescent="0.25">
      <c r="A16" s="17" t="s">
        <v>117</v>
      </c>
      <c r="B16" s="16"/>
      <c r="C16" s="16"/>
      <c r="D16" s="16"/>
      <c r="E16" s="16"/>
      <c r="F16" s="60"/>
      <c r="G16" s="25"/>
      <c r="H16" s="18"/>
      <c r="I16" s="18"/>
      <c r="J16" s="18"/>
      <c r="K16" s="18"/>
      <c r="L16" s="18"/>
      <c r="M16" s="18"/>
      <c r="N16" s="18"/>
      <c r="O16" s="18"/>
      <c r="Q16" s="55"/>
      <c r="R16" s="55"/>
      <c r="S16" s="55"/>
      <c r="T16" s="55"/>
    </row>
    <row r="17" spans="1:20" x14ac:dyDescent="0.25">
      <c r="A17" s="17" t="s">
        <v>117</v>
      </c>
      <c r="B17" s="16"/>
      <c r="C17" s="16"/>
      <c r="D17" s="16"/>
      <c r="E17" s="16"/>
      <c r="F17" s="60"/>
      <c r="G17" s="25"/>
      <c r="H17" s="18"/>
      <c r="I17" s="18"/>
      <c r="J17" s="18"/>
      <c r="K17" s="18"/>
      <c r="L17" s="18"/>
      <c r="M17" s="18"/>
      <c r="N17" s="18"/>
      <c r="O17" s="18"/>
      <c r="Q17" s="55" t="s">
        <v>49</v>
      </c>
      <c r="R17" s="55"/>
      <c r="S17" s="55"/>
      <c r="T17" s="55"/>
    </row>
    <row r="18" spans="1:20" x14ac:dyDescent="0.25">
      <c r="A18" s="17" t="s">
        <v>117</v>
      </c>
      <c r="B18" s="16"/>
      <c r="C18" s="16"/>
      <c r="D18" s="16"/>
      <c r="E18" s="16"/>
      <c r="F18" s="60"/>
      <c r="G18" s="25"/>
      <c r="H18" s="18"/>
      <c r="I18" s="18"/>
      <c r="J18" s="18"/>
      <c r="K18" s="18"/>
      <c r="L18" s="18"/>
      <c r="M18" s="18"/>
      <c r="N18" s="18"/>
      <c r="O18" s="18"/>
      <c r="Q18" s="55"/>
      <c r="R18" s="55"/>
      <c r="S18" s="55"/>
      <c r="T18" s="55"/>
    </row>
    <row r="19" spans="1:20" x14ac:dyDescent="0.25">
      <c r="A19" s="17" t="s">
        <v>117</v>
      </c>
      <c r="B19" s="16"/>
      <c r="C19" s="16"/>
      <c r="D19" s="16"/>
      <c r="E19" s="16"/>
      <c r="F19" s="60"/>
      <c r="G19" s="25"/>
      <c r="H19" s="18"/>
      <c r="I19" s="18"/>
      <c r="J19" s="18"/>
      <c r="K19" s="18"/>
      <c r="L19" s="18"/>
      <c r="M19" s="18"/>
      <c r="N19" s="18"/>
      <c r="O19" s="18"/>
      <c r="Q19" s="55"/>
      <c r="R19" s="55"/>
      <c r="S19" s="55"/>
      <c r="T19" s="55"/>
    </row>
    <row r="20" spans="1:20" x14ac:dyDescent="0.25">
      <c r="A20" s="17" t="s">
        <v>117</v>
      </c>
      <c r="B20" s="16"/>
      <c r="C20" s="16"/>
      <c r="D20" s="16"/>
      <c r="E20" s="16"/>
      <c r="F20" s="60"/>
      <c r="G20" s="25"/>
      <c r="H20" s="18"/>
      <c r="I20" s="18"/>
      <c r="J20" s="18"/>
      <c r="K20" s="18"/>
      <c r="L20" s="18"/>
      <c r="M20" s="18"/>
      <c r="N20" s="18"/>
      <c r="O20" s="18"/>
      <c r="Q20" s="55"/>
      <c r="R20" s="55"/>
      <c r="S20" s="55"/>
      <c r="T20" s="55"/>
    </row>
    <row r="21" spans="1:20" x14ac:dyDescent="0.25">
      <c r="A21" s="17" t="s">
        <v>117</v>
      </c>
      <c r="B21" s="16"/>
      <c r="C21" s="16"/>
      <c r="D21" s="16"/>
      <c r="E21" s="16"/>
      <c r="F21" s="60"/>
      <c r="G21" s="25"/>
      <c r="H21" s="18"/>
      <c r="I21" s="18"/>
      <c r="J21" s="18"/>
      <c r="K21" s="18"/>
      <c r="L21" s="18"/>
      <c r="M21" s="18"/>
      <c r="N21" s="18"/>
      <c r="O21" s="18"/>
      <c r="Q21" s="10"/>
      <c r="R21" s="10"/>
      <c r="S21" s="10"/>
      <c r="T21" s="10"/>
    </row>
    <row r="22" spans="1:20" x14ac:dyDescent="0.25">
      <c r="A22" s="17" t="s">
        <v>117</v>
      </c>
      <c r="B22" s="16"/>
      <c r="C22" s="16"/>
      <c r="D22" s="16"/>
      <c r="E22" s="16"/>
      <c r="F22" s="60"/>
      <c r="G22" s="25"/>
      <c r="H22" s="18"/>
      <c r="I22" s="18"/>
      <c r="J22" s="18"/>
      <c r="K22" s="18"/>
      <c r="L22" s="18"/>
      <c r="M22" s="18"/>
      <c r="N22" s="18"/>
      <c r="O22" s="18"/>
    </row>
    <row r="23" spans="1:20" x14ac:dyDescent="0.25">
      <c r="A23" s="17" t="s">
        <v>117</v>
      </c>
      <c r="B23" s="16"/>
      <c r="C23" s="16"/>
      <c r="D23" s="16"/>
      <c r="E23" s="16"/>
      <c r="F23" s="60"/>
      <c r="G23" s="25"/>
      <c r="H23" s="18"/>
      <c r="I23" s="18"/>
      <c r="J23" s="18"/>
      <c r="K23" s="18"/>
      <c r="L23" s="18"/>
      <c r="M23" s="18"/>
      <c r="N23" s="18"/>
      <c r="O23" s="18"/>
    </row>
    <row r="24" spans="1:20" x14ac:dyDescent="0.25">
      <c r="A24" s="17" t="s">
        <v>117</v>
      </c>
      <c r="B24" s="16"/>
      <c r="C24" s="16"/>
      <c r="D24" s="16"/>
      <c r="E24" s="16"/>
      <c r="F24" s="60"/>
      <c r="G24" s="25"/>
      <c r="H24" s="18"/>
      <c r="I24" s="18"/>
      <c r="J24" s="18"/>
      <c r="K24" s="18"/>
      <c r="L24" s="18"/>
      <c r="M24" s="18"/>
      <c r="N24" s="18"/>
      <c r="O24" s="18"/>
    </row>
    <row r="25" spans="1:20" x14ac:dyDescent="0.25">
      <c r="A25" s="17" t="s">
        <v>117</v>
      </c>
      <c r="B25" s="16"/>
      <c r="C25" s="16"/>
      <c r="D25" s="16"/>
      <c r="E25" s="16"/>
      <c r="F25" s="60"/>
      <c r="G25" s="25"/>
      <c r="H25" s="18"/>
      <c r="I25" s="18"/>
      <c r="J25" s="18"/>
      <c r="K25" s="18"/>
      <c r="L25" s="18"/>
      <c r="M25" s="18"/>
      <c r="N25" s="18"/>
      <c r="O25" s="18"/>
    </row>
    <row r="26" spans="1:20" x14ac:dyDescent="0.25">
      <c r="A26" s="17" t="s">
        <v>117</v>
      </c>
      <c r="B26" s="16"/>
      <c r="C26" s="16"/>
      <c r="D26" s="16"/>
      <c r="E26" s="16"/>
      <c r="F26" s="60"/>
      <c r="G26" s="25"/>
      <c r="H26" s="18"/>
      <c r="I26" s="18"/>
      <c r="J26" s="18"/>
      <c r="K26" s="18"/>
      <c r="L26" s="18"/>
      <c r="M26" s="18"/>
      <c r="N26" s="18"/>
      <c r="O26" s="18"/>
    </row>
    <row r="27" spans="1:20" x14ac:dyDescent="0.25">
      <c r="A27" s="17" t="s">
        <v>117</v>
      </c>
      <c r="B27" s="16"/>
      <c r="C27" s="16"/>
      <c r="D27" s="16"/>
      <c r="E27" s="16"/>
      <c r="F27" s="60"/>
      <c r="G27" s="25"/>
      <c r="H27" s="18"/>
      <c r="I27" s="18"/>
      <c r="J27" s="18"/>
      <c r="K27" s="18"/>
      <c r="L27" s="18"/>
      <c r="M27" s="18"/>
      <c r="N27" s="18"/>
      <c r="O27" s="18"/>
    </row>
    <row r="28" spans="1:20" x14ac:dyDescent="0.25">
      <c r="A28" s="17" t="s">
        <v>117</v>
      </c>
      <c r="B28" s="16"/>
      <c r="C28" s="16"/>
      <c r="D28" s="16"/>
      <c r="E28" s="16"/>
      <c r="F28" s="60"/>
      <c r="G28" s="25"/>
      <c r="H28" s="18"/>
      <c r="I28" s="18"/>
      <c r="J28" s="18"/>
      <c r="K28" s="18"/>
      <c r="L28" s="18"/>
      <c r="M28" s="18"/>
      <c r="N28" s="18"/>
      <c r="O28" s="18"/>
    </row>
    <row r="29" spans="1:20" x14ac:dyDescent="0.25">
      <c r="A29" s="17" t="s">
        <v>117</v>
      </c>
      <c r="B29" s="16"/>
      <c r="C29" s="16"/>
      <c r="D29" s="16"/>
      <c r="E29" s="16"/>
      <c r="F29" s="60"/>
      <c r="G29" s="25"/>
      <c r="H29" s="18"/>
      <c r="I29" s="18"/>
      <c r="J29" s="18"/>
      <c r="K29" s="18"/>
      <c r="L29" s="18"/>
      <c r="M29" s="18"/>
      <c r="N29" s="18"/>
      <c r="O29" s="18"/>
    </row>
    <row r="30" spans="1:20" x14ac:dyDescent="0.25">
      <c r="A30" s="17" t="s">
        <v>117</v>
      </c>
      <c r="B30" s="16"/>
      <c r="C30" s="16"/>
      <c r="D30" s="16"/>
      <c r="E30" s="16"/>
      <c r="F30" s="60"/>
      <c r="G30" s="25"/>
      <c r="H30" s="18"/>
      <c r="I30" s="18"/>
      <c r="J30" s="18"/>
      <c r="K30" s="18"/>
      <c r="L30" s="18"/>
      <c r="M30" s="18"/>
      <c r="N30" s="18"/>
      <c r="O30" s="18"/>
    </row>
    <row r="31" spans="1:20" x14ac:dyDescent="0.25">
      <c r="A31" s="17" t="s">
        <v>117</v>
      </c>
      <c r="B31" s="16"/>
      <c r="C31" s="16"/>
      <c r="D31" s="16"/>
      <c r="E31" s="16"/>
      <c r="F31" s="60"/>
      <c r="G31" s="25"/>
      <c r="H31" s="18"/>
      <c r="I31" s="18"/>
      <c r="J31" s="18"/>
      <c r="K31" s="18"/>
      <c r="L31" s="18"/>
      <c r="M31" s="18"/>
      <c r="N31" s="18"/>
      <c r="O31" s="18"/>
    </row>
    <row r="32" spans="1:20" x14ac:dyDescent="0.25">
      <c r="A32" s="17" t="s">
        <v>117</v>
      </c>
      <c r="B32" s="16"/>
      <c r="C32" s="16"/>
      <c r="D32" s="16"/>
      <c r="E32" s="16"/>
      <c r="F32" s="60"/>
      <c r="G32" s="25"/>
      <c r="H32" s="18"/>
      <c r="I32" s="18"/>
      <c r="J32" s="18"/>
      <c r="K32" s="18"/>
      <c r="L32" s="18"/>
      <c r="M32" s="18"/>
      <c r="N32" s="18"/>
      <c r="O32" s="18"/>
    </row>
    <row r="33" spans="1:15" x14ac:dyDescent="0.25">
      <c r="A33" s="17" t="s">
        <v>117</v>
      </c>
      <c r="B33" s="16"/>
      <c r="C33" s="16"/>
      <c r="D33" s="16"/>
      <c r="E33" s="16"/>
      <c r="F33" s="60"/>
      <c r="G33" s="25"/>
      <c r="H33" s="18"/>
      <c r="I33" s="18"/>
      <c r="J33" s="18"/>
      <c r="K33" s="18"/>
      <c r="L33" s="18"/>
      <c r="M33" s="18"/>
      <c r="N33" s="18"/>
      <c r="O33" s="18"/>
    </row>
    <row r="34" spans="1:15" customFormat="1" x14ac:dyDescent="0.25">
      <c r="A34" s="17" t="s">
        <v>117</v>
      </c>
      <c r="B34" s="16"/>
      <c r="C34" s="16"/>
      <c r="D34" s="16"/>
      <c r="E34" s="16"/>
      <c r="F34" s="61"/>
      <c r="G34" s="25"/>
      <c r="H34" s="18"/>
      <c r="I34" s="18"/>
      <c r="J34" s="18"/>
      <c r="K34" s="18"/>
      <c r="L34" s="18"/>
      <c r="M34" s="18"/>
      <c r="N34" s="18"/>
      <c r="O34" s="18"/>
    </row>
    <row r="35" spans="1:15" customFormat="1" x14ac:dyDescent="0.25">
      <c r="A35" s="26"/>
      <c r="B35" s="51" t="s">
        <v>48</v>
      </c>
      <c r="C35" s="52"/>
      <c r="D35" s="52"/>
      <c r="E35" s="52"/>
      <c r="F35" s="53"/>
      <c r="G35" s="29">
        <f t="shared" ref="G35:H35" si="0">SUM(G5:G34)</f>
        <v>0</v>
      </c>
      <c r="H35" s="29">
        <f t="shared" si="0"/>
        <v>5</v>
      </c>
      <c r="I35" s="29">
        <f>SUM(I5:I34)</f>
        <v>1</v>
      </c>
      <c r="J35" s="29">
        <f t="shared" ref="J35" si="1">SUM(J5:J34)</f>
        <v>1</v>
      </c>
      <c r="K35" s="29">
        <f t="shared" ref="K35" si="2">SUM(K5:K34)</f>
        <v>1</v>
      </c>
      <c r="L35" s="29">
        <f>SUM(L5:L34)</f>
        <v>100000</v>
      </c>
      <c r="M35" s="27"/>
      <c r="N35" s="27"/>
      <c r="O35" s="27"/>
    </row>
    <row r="36" spans="1:15" x14ac:dyDescent="0.25">
      <c r="A36" s="4" t="s">
        <v>16</v>
      </c>
      <c r="B36" s="3"/>
      <c r="C36" s="3"/>
      <c r="D36" s="3"/>
      <c r="E36" s="3"/>
      <c r="F36" s="12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4" t="s">
        <v>16</v>
      </c>
      <c r="B37" s="3"/>
      <c r="C37" s="3"/>
      <c r="D37" s="3"/>
      <c r="E37" s="3"/>
      <c r="F37" s="12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4" t="s">
        <v>16</v>
      </c>
      <c r="B38" s="3"/>
      <c r="C38" s="3"/>
      <c r="D38" s="3"/>
      <c r="E38" s="3"/>
      <c r="F38" s="12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4" t="s">
        <v>16</v>
      </c>
      <c r="B39" s="3"/>
      <c r="C39" s="3"/>
      <c r="D39" s="3"/>
      <c r="E39" s="3"/>
      <c r="F39" s="12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4" t="s">
        <v>16</v>
      </c>
      <c r="B40" s="3"/>
      <c r="C40" s="3"/>
      <c r="D40" s="3"/>
      <c r="E40" s="3"/>
      <c r="F40" s="12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4" t="s">
        <v>16</v>
      </c>
      <c r="B41" s="3"/>
      <c r="C41" s="3"/>
      <c r="D41" s="3"/>
      <c r="E41" s="3"/>
      <c r="F41" s="12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5">
      <c r="A42" s="4" t="s">
        <v>16</v>
      </c>
      <c r="B42" s="3"/>
      <c r="C42" s="3"/>
      <c r="D42" s="3"/>
      <c r="E42" s="3"/>
      <c r="F42" s="12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5">
      <c r="A43" s="4" t="s">
        <v>16</v>
      </c>
      <c r="B43" s="3"/>
      <c r="C43" s="3"/>
      <c r="D43" s="3"/>
      <c r="E43" s="3"/>
      <c r="F43" s="12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5">
      <c r="A44" s="4" t="s">
        <v>16</v>
      </c>
      <c r="B44" s="3"/>
      <c r="C44" s="3"/>
      <c r="D44" s="3"/>
      <c r="E44" s="3"/>
      <c r="F44" s="12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5">
      <c r="A45" s="4" t="s">
        <v>16</v>
      </c>
      <c r="B45" s="3"/>
      <c r="C45" s="3"/>
      <c r="D45" s="3"/>
      <c r="E45" s="3"/>
      <c r="F45" s="12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5">
      <c r="A46" s="4" t="s">
        <v>16</v>
      </c>
      <c r="B46" s="3"/>
      <c r="C46" s="3"/>
      <c r="D46" s="3"/>
      <c r="E46" s="3"/>
      <c r="F46" s="12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5">
      <c r="A47" s="4" t="s">
        <v>16</v>
      </c>
      <c r="B47" s="3"/>
      <c r="C47" s="3"/>
      <c r="D47" s="3"/>
      <c r="E47" s="3"/>
      <c r="F47" s="12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5">
      <c r="A48" s="4" t="s">
        <v>16</v>
      </c>
      <c r="B48" s="3"/>
      <c r="C48" s="3"/>
      <c r="D48" s="3"/>
      <c r="E48" s="3"/>
      <c r="F48" s="12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5">
      <c r="A49" s="4" t="s">
        <v>16</v>
      </c>
      <c r="B49" s="3"/>
      <c r="C49" s="3"/>
      <c r="D49" s="3"/>
      <c r="E49" s="3"/>
      <c r="F49" s="12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5">
      <c r="A50" s="4" t="s">
        <v>16</v>
      </c>
      <c r="B50" s="3"/>
      <c r="C50" s="3"/>
      <c r="D50" s="3"/>
      <c r="E50" s="3"/>
      <c r="F50" s="12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5">
      <c r="A51" s="4" t="s">
        <v>16</v>
      </c>
      <c r="B51" s="3"/>
      <c r="C51" s="3"/>
      <c r="D51" s="3"/>
      <c r="E51" s="3"/>
      <c r="F51" s="12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5">
      <c r="A52" s="4" t="s">
        <v>16</v>
      </c>
      <c r="B52" s="3"/>
      <c r="C52" s="3"/>
      <c r="D52" s="3"/>
      <c r="E52" s="3"/>
      <c r="F52" s="12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5">
      <c r="A53" s="4" t="s">
        <v>16</v>
      </c>
      <c r="B53" s="3"/>
      <c r="C53" s="3"/>
      <c r="D53" s="3"/>
      <c r="E53" s="3"/>
      <c r="F53" s="12"/>
      <c r="G53" s="3"/>
      <c r="H53" s="3"/>
      <c r="I53" s="3"/>
      <c r="J53" s="3"/>
      <c r="K53" s="3"/>
      <c r="L53" s="3"/>
      <c r="M53" s="3"/>
      <c r="N53" s="3"/>
      <c r="O53" s="3"/>
    </row>
    <row r="54" spans="1:15" x14ac:dyDescent="0.25">
      <c r="A54" s="4" t="s">
        <v>16</v>
      </c>
      <c r="B54" s="3"/>
      <c r="C54" s="3"/>
      <c r="D54" s="3"/>
      <c r="E54" s="3"/>
      <c r="F54" s="12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s="4" t="s">
        <v>16</v>
      </c>
      <c r="B55" s="3"/>
      <c r="C55" s="3"/>
      <c r="D55" s="3"/>
      <c r="E55" s="3"/>
      <c r="F55" s="12"/>
      <c r="G55" s="3"/>
      <c r="H55" s="3"/>
      <c r="I55" s="3"/>
      <c r="J55" s="3"/>
      <c r="K55" s="3"/>
      <c r="L55" s="3"/>
      <c r="M55" s="3"/>
      <c r="N55" s="3"/>
      <c r="O55" s="3"/>
    </row>
    <row r="56" spans="1:15" x14ac:dyDescent="0.25">
      <c r="A56" s="4" t="s">
        <v>16</v>
      </c>
      <c r="B56" s="3"/>
      <c r="C56" s="3"/>
      <c r="D56" s="3"/>
      <c r="E56" s="3"/>
      <c r="F56" s="12"/>
      <c r="G56" s="3"/>
      <c r="H56" s="3"/>
      <c r="I56" s="3"/>
      <c r="J56" s="3"/>
      <c r="K56" s="3"/>
      <c r="L56" s="3"/>
      <c r="M56" s="3"/>
      <c r="N56" s="3"/>
      <c r="O56" s="3"/>
    </row>
    <row r="57" spans="1:15" x14ac:dyDescent="0.25">
      <c r="A57" s="4" t="s">
        <v>16</v>
      </c>
      <c r="B57" s="3"/>
      <c r="C57" s="3"/>
      <c r="D57" s="3"/>
      <c r="E57" s="3"/>
      <c r="F57" s="12"/>
      <c r="G57" s="3"/>
      <c r="H57" s="3"/>
      <c r="I57" s="3"/>
      <c r="J57" s="3"/>
      <c r="K57" s="3"/>
      <c r="L57" s="3"/>
      <c r="M57" s="3"/>
      <c r="N57" s="3"/>
      <c r="O57" s="3"/>
    </row>
    <row r="58" spans="1:15" x14ac:dyDescent="0.25">
      <c r="A58" s="4" t="s">
        <v>16</v>
      </c>
      <c r="B58" s="3"/>
      <c r="C58" s="3"/>
      <c r="D58" s="3"/>
      <c r="E58" s="3"/>
      <c r="F58" s="12"/>
      <c r="G58" s="3"/>
      <c r="H58" s="3"/>
      <c r="I58" s="3"/>
      <c r="J58" s="3"/>
      <c r="K58" s="3"/>
      <c r="L58" s="3"/>
      <c r="M58" s="3"/>
      <c r="N58" s="3"/>
      <c r="O58" s="3"/>
    </row>
    <row r="59" spans="1:15" x14ac:dyDescent="0.25">
      <c r="A59" s="4" t="s">
        <v>16</v>
      </c>
      <c r="B59" s="3"/>
      <c r="C59" s="3"/>
      <c r="D59" s="3"/>
      <c r="E59" s="3"/>
      <c r="F59" s="12"/>
      <c r="G59" s="3"/>
      <c r="H59" s="3"/>
      <c r="I59" s="3"/>
      <c r="J59" s="3"/>
      <c r="K59" s="3"/>
      <c r="L59" s="3"/>
      <c r="M59" s="3"/>
      <c r="N59" s="3"/>
      <c r="O59" s="3"/>
    </row>
    <row r="60" spans="1:15" x14ac:dyDescent="0.25">
      <c r="A60" s="4" t="s">
        <v>16</v>
      </c>
      <c r="B60" s="3"/>
      <c r="C60" s="3"/>
      <c r="D60" s="3"/>
      <c r="E60" s="3"/>
      <c r="F60" s="12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5">
      <c r="A61" s="4" t="s">
        <v>16</v>
      </c>
      <c r="B61" s="3"/>
      <c r="C61" s="3"/>
      <c r="D61" s="3"/>
      <c r="E61" s="3"/>
      <c r="F61" s="12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5">
      <c r="A62" s="4" t="s">
        <v>16</v>
      </c>
      <c r="B62" s="3"/>
      <c r="C62" s="3"/>
      <c r="D62" s="3"/>
      <c r="E62" s="3"/>
      <c r="F62" s="12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5">
      <c r="A63" s="4" t="s">
        <v>16</v>
      </c>
      <c r="B63" s="3"/>
      <c r="C63" s="3"/>
      <c r="D63" s="3"/>
      <c r="E63" s="3"/>
      <c r="F63" s="12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5">
      <c r="A64" s="4" t="s">
        <v>16</v>
      </c>
      <c r="B64" s="3"/>
      <c r="C64" s="3"/>
      <c r="D64" s="3"/>
      <c r="E64" s="3"/>
      <c r="F64" s="1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5">
      <c r="A65" s="4" t="s">
        <v>16</v>
      </c>
      <c r="B65" s="3"/>
      <c r="C65" s="3"/>
      <c r="D65" s="3"/>
      <c r="E65" s="3"/>
      <c r="F65" s="11"/>
      <c r="G65" s="19"/>
      <c r="H65" s="19"/>
      <c r="I65" s="19"/>
      <c r="J65" s="19"/>
      <c r="K65" s="19"/>
      <c r="L65" s="19"/>
      <c r="M65" s="19"/>
      <c r="N65" s="19"/>
      <c r="O65" s="19"/>
    </row>
    <row r="66" spans="1:15" x14ac:dyDescent="0.25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spans="1:15" x14ac:dyDescent="0.25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1:15" x14ac:dyDescent="0.25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spans="1:15" x14ac:dyDescent="0.25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spans="1:15" x14ac:dyDescent="0.25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spans="1:15" x14ac:dyDescent="0.25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spans="1:15" x14ac:dyDescent="0.25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spans="1:15" x14ac:dyDescent="0.25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spans="1:15" x14ac:dyDescent="0.25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spans="1:15" x14ac:dyDescent="0.25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spans="1:15" x14ac:dyDescent="0.25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spans="1:15" x14ac:dyDescent="0.25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spans="1:15" x14ac:dyDescent="0.25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spans="1:15" x14ac:dyDescent="0.25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spans="1:15" x14ac:dyDescent="0.25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spans="1:15" x14ac:dyDescent="0.25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spans="1:15" x14ac:dyDescent="0.25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1:15" x14ac:dyDescent="0.25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spans="1:15" x14ac:dyDescent="0.25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spans="1:15" x14ac:dyDescent="0.25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spans="1:15" x14ac:dyDescent="0.25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spans="1:15" x14ac:dyDescent="0.25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spans="1:15" x14ac:dyDescent="0.25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spans="1:15" x14ac:dyDescent="0.25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spans="1:15" x14ac:dyDescent="0.25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1:15" x14ac:dyDescent="0.25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spans="1:15" x14ac:dyDescent="0.25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spans="1:15" x14ac:dyDescent="0.25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</sheetData>
  <mergeCells count="9">
    <mergeCell ref="B35:F35"/>
    <mergeCell ref="A1:E1"/>
    <mergeCell ref="Q7:T12"/>
    <mergeCell ref="Q14:T16"/>
    <mergeCell ref="Q17:T20"/>
    <mergeCell ref="B3:F3"/>
    <mergeCell ref="A3:A4"/>
    <mergeCell ref="G3:O3"/>
    <mergeCell ref="F5:F34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N34"/>
  <sheetViews>
    <sheetView workbookViewId="0">
      <selection activeCell="R11" sqref="R11"/>
    </sheetView>
  </sheetViews>
  <sheetFormatPr defaultRowHeight="15" x14ac:dyDescent="0.25"/>
  <cols>
    <col min="1" max="3" width="19.5703125" style="8" customWidth="1"/>
    <col min="4" max="4" width="15.7109375" style="31" bestFit="1" customWidth="1"/>
    <col min="5" max="6" width="15.7109375" style="31" customWidth="1"/>
    <col min="7" max="7" width="16" style="1" customWidth="1"/>
    <col min="8" max="8" width="0" style="1" hidden="1" customWidth="1"/>
    <col min="9" max="9" width="12.140625" style="1" hidden="1" customWidth="1"/>
    <col min="10" max="10" width="15.42578125" style="1" customWidth="1"/>
    <col min="11" max="11" width="11.85546875" style="1" hidden="1" customWidth="1"/>
    <col min="12" max="12" width="13.5703125" style="1" hidden="1" customWidth="1"/>
    <col min="13" max="13" width="12.5703125" style="1" hidden="1" customWidth="1"/>
    <col min="14" max="14" width="0" style="1" hidden="1" customWidth="1"/>
    <col min="15" max="16384" width="9.140625" style="1"/>
  </cols>
  <sheetData>
    <row r="3" spans="1:14" x14ac:dyDescent="0.25">
      <c r="A3" s="6" t="s">
        <v>7</v>
      </c>
      <c r="B3" s="6" t="s">
        <v>86</v>
      </c>
      <c r="C3" s="6" t="s">
        <v>54</v>
      </c>
      <c r="D3" s="7" t="s">
        <v>87</v>
      </c>
      <c r="E3" s="7" t="s">
        <v>57</v>
      </c>
      <c r="F3" s="7" t="s">
        <v>72</v>
      </c>
      <c r="G3" s="7" t="s">
        <v>17</v>
      </c>
      <c r="H3" s="7"/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2" t="s">
        <v>53</v>
      </c>
    </row>
    <row r="4" spans="1:14" x14ac:dyDescent="0.25">
      <c r="A4" s="4" t="s">
        <v>18</v>
      </c>
      <c r="B4" s="4">
        <v>5</v>
      </c>
      <c r="C4" s="4">
        <v>7</v>
      </c>
      <c r="D4" s="14">
        <v>1000000</v>
      </c>
      <c r="E4" s="14">
        <v>30</v>
      </c>
      <c r="F4" s="14">
        <v>400</v>
      </c>
      <c r="G4" s="32">
        <f>F4+E4</f>
        <v>430</v>
      </c>
      <c r="H4" s="3"/>
      <c r="I4" s="3"/>
      <c r="J4" s="3"/>
      <c r="K4" s="3"/>
      <c r="L4" s="3"/>
      <c r="M4" s="3"/>
      <c r="N4" s="3"/>
    </row>
    <row r="5" spans="1:14" x14ac:dyDescent="0.25">
      <c r="A5" s="4" t="s">
        <v>19</v>
      </c>
      <c r="B5" s="4"/>
      <c r="C5" s="4"/>
      <c r="D5" s="14"/>
      <c r="E5" s="14"/>
      <c r="F5" s="14"/>
      <c r="G5" s="3"/>
      <c r="H5" s="3"/>
      <c r="I5" s="3"/>
      <c r="J5" s="3"/>
      <c r="K5" s="3"/>
      <c r="L5" s="3"/>
      <c r="M5" s="3"/>
      <c r="N5" s="3"/>
    </row>
    <row r="6" spans="1:14" x14ac:dyDescent="0.25">
      <c r="A6" s="4" t="s">
        <v>20</v>
      </c>
      <c r="B6" s="4"/>
      <c r="C6" s="4"/>
      <c r="D6" s="14"/>
      <c r="E6" s="14"/>
      <c r="F6" s="14"/>
      <c r="G6" s="3"/>
      <c r="H6" s="3"/>
      <c r="I6" s="3"/>
      <c r="J6" s="3"/>
      <c r="K6" s="3"/>
      <c r="L6" s="3"/>
      <c r="M6" s="3"/>
      <c r="N6" s="3"/>
    </row>
    <row r="7" spans="1:14" x14ac:dyDescent="0.25">
      <c r="A7" s="4" t="s">
        <v>21</v>
      </c>
      <c r="B7" s="4"/>
      <c r="C7" s="4"/>
      <c r="D7" s="14"/>
      <c r="E7" s="14"/>
      <c r="F7" s="14"/>
      <c r="G7" s="3"/>
      <c r="H7" s="3"/>
      <c r="I7" s="3"/>
      <c r="J7" s="3"/>
      <c r="K7" s="3"/>
      <c r="L7" s="3"/>
      <c r="M7" s="3"/>
      <c r="N7" s="3"/>
    </row>
    <row r="8" spans="1:14" x14ac:dyDescent="0.25">
      <c r="A8" s="4" t="s">
        <v>22</v>
      </c>
      <c r="B8" s="4"/>
      <c r="C8" s="4"/>
      <c r="D8" s="14"/>
      <c r="E8" s="14"/>
      <c r="F8" s="14"/>
      <c r="G8" s="3"/>
      <c r="H8" s="3"/>
      <c r="I8" s="3"/>
      <c r="J8" s="3"/>
      <c r="K8" s="3"/>
      <c r="L8" s="3"/>
      <c r="M8" s="3"/>
      <c r="N8" s="3"/>
    </row>
    <row r="9" spans="1:14" x14ac:dyDescent="0.25">
      <c r="A9" s="4" t="s">
        <v>23</v>
      </c>
      <c r="B9" s="4"/>
      <c r="C9" s="4"/>
      <c r="D9" s="14"/>
      <c r="E9" s="14"/>
      <c r="F9" s="14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4" t="s">
        <v>24</v>
      </c>
      <c r="B10" s="4"/>
      <c r="C10" s="4"/>
      <c r="D10" s="14"/>
      <c r="E10" s="14"/>
      <c r="F10" s="14"/>
      <c r="G10" s="3"/>
      <c r="H10" s="3"/>
      <c r="I10" s="3"/>
      <c r="J10" s="3"/>
      <c r="K10" s="3"/>
      <c r="L10" s="3"/>
      <c r="M10" s="3"/>
      <c r="N10" s="3"/>
    </row>
    <row r="11" spans="1:14" x14ac:dyDescent="0.25">
      <c r="A11" s="4" t="s">
        <v>25</v>
      </c>
      <c r="B11" s="4"/>
      <c r="C11" s="4"/>
      <c r="D11" s="14"/>
      <c r="E11" s="14"/>
      <c r="F11" s="14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4" t="s">
        <v>26</v>
      </c>
      <c r="B12" s="4"/>
      <c r="C12" s="4"/>
      <c r="D12" s="14"/>
      <c r="E12" s="14"/>
      <c r="F12" s="14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4" t="s">
        <v>27</v>
      </c>
      <c r="B13" s="4"/>
      <c r="C13" s="4"/>
      <c r="D13" s="14"/>
      <c r="E13" s="14"/>
      <c r="F13" s="14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4" t="s">
        <v>28</v>
      </c>
      <c r="B14" s="4"/>
      <c r="C14" s="4"/>
      <c r="D14" s="14"/>
      <c r="E14" s="14"/>
      <c r="F14" s="14"/>
      <c r="G14" s="3"/>
      <c r="H14" s="3"/>
      <c r="I14" s="3"/>
      <c r="J14" s="3"/>
      <c r="K14" s="3"/>
      <c r="L14" s="3"/>
      <c r="M14" s="3"/>
      <c r="N14" s="3"/>
    </row>
    <row r="15" spans="1:14" x14ac:dyDescent="0.25">
      <c r="A15" s="4" t="s">
        <v>29</v>
      </c>
      <c r="B15" s="4"/>
      <c r="C15" s="4"/>
      <c r="D15" s="14"/>
      <c r="E15" s="14"/>
      <c r="F15" s="14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4" t="s">
        <v>30</v>
      </c>
      <c r="B16" s="4"/>
      <c r="C16" s="4"/>
      <c r="D16" s="14"/>
      <c r="E16" s="14"/>
      <c r="F16" s="14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4" t="s">
        <v>31</v>
      </c>
      <c r="B17" s="4"/>
      <c r="C17" s="4"/>
      <c r="D17" s="14"/>
      <c r="E17" s="14"/>
      <c r="F17" s="14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4" t="s">
        <v>32</v>
      </c>
      <c r="B18" s="4"/>
      <c r="C18" s="4"/>
      <c r="D18" s="14"/>
      <c r="E18" s="14"/>
      <c r="F18" s="14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4" t="s">
        <v>33</v>
      </c>
      <c r="B19" s="4"/>
      <c r="C19" s="4"/>
      <c r="D19" s="14"/>
      <c r="E19" s="14"/>
      <c r="F19" s="14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4" t="s">
        <v>34</v>
      </c>
      <c r="B20" s="4"/>
      <c r="C20" s="4"/>
      <c r="D20" s="14"/>
      <c r="E20" s="14"/>
      <c r="F20" s="14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4" t="s">
        <v>35</v>
      </c>
      <c r="B21" s="4"/>
      <c r="C21" s="4"/>
      <c r="D21" s="14"/>
      <c r="E21" s="14"/>
      <c r="F21" s="14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4" t="s">
        <v>36</v>
      </c>
      <c r="B22" s="4"/>
      <c r="C22" s="4"/>
      <c r="D22" s="14"/>
      <c r="E22" s="14"/>
      <c r="F22" s="14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4" t="s">
        <v>37</v>
      </c>
      <c r="B23" s="4"/>
      <c r="C23" s="4"/>
      <c r="D23" s="14"/>
      <c r="E23" s="14"/>
      <c r="F23" s="14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4" t="s">
        <v>38</v>
      </c>
      <c r="B24" s="4"/>
      <c r="C24" s="4"/>
      <c r="D24" s="14"/>
      <c r="E24" s="14"/>
      <c r="F24" s="14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4" t="s">
        <v>39</v>
      </c>
      <c r="B25" s="4"/>
      <c r="C25" s="4"/>
      <c r="D25" s="14"/>
      <c r="E25" s="14"/>
      <c r="F25" s="14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4" t="s">
        <v>40</v>
      </c>
      <c r="B26" s="4"/>
      <c r="C26" s="4"/>
      <c r="D26" s="14"/>
      <c r="E26" s="14"/>
      <c r="F26" s="14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4" t="s">
        <v>41</v>
      </c>
      <c r="B27" s="4"/>
      <c r="C27" s="4"/>
      <c r="D27" s="14"/>
      <c r="E27" s="14"/>
      <c r="F27" s="14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4" t="s">
        <v>42</v>
      </c>
      <c r="B28" s="4"/>
      <c r="C28" s="4"/>
      <c r="D28" s="14"/>
      <c r="E28" s="14"/>
      <c r="F28" s="14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4" t="s">
        <v>43</v>
      </c>
      <c r="B29" s="4"/>
      <c r="C29" s="4"/>
      <c r="D29" s="14"/>
      <c r="E29" s="14"/>
      <c r="F29" s="14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4" t="s">
        <v>44</v>
      </c>
      <c r="B30" s="4"/>
      <c r="C30" s="4"/>
      <c r="D30" s="14"/>
      <c r="E30" s="14"/>
      <c r="F30" s="14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4" t="s">
        <v>45</v>
      </c>
      <c r="B31" s="4"/>
      <c r="C31" s="4"/>
      <c r="D31" s="14"/>
      <c r="E31" s="14"/>
      <c r="F31" s="14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4" t="s">
        <v>46</v>
      </c>
      <c r="B32" s="4"/>
      <c r="C32" s="4"/>
      <c r="D32" s="14"/>
      <c r="E32" s="14"/>
      <c r="F32" s="14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4" t="s">
        <v>47</v>
      </c>
      <c r="B33" s="4"/>
      <c r="C33" s="4"/>
      <c r="D33" s="14"/>
      <c r="E33" s="14"/>
      <c r="F33" s="14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9" t="s">
        <v>48</v>
      </c>
      <c r="B34" s="9"/>
      <c r="C34" s="9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M39"/>
  <sheetViews>
    <sheetView workbookViewId="0">
      <selection activeCell="F22" sqref="F22"/>
    </sheetView>
  </sheetViews>
  <sheetFormatPr defaultRowHeight="15" x14ac:dyDescent="0.25"/>
  <cols>
    <col min="1" max="1" width="9.140625" style="1"/>
    <col min="2" max="2" width="15.42578125" style="8" bestFit="1" customWidth="1"/>
    <col min="3" max="3" width="17.28515625" style="1" customWidth="1"/>
    <col min="4" max="7" width="19.140625" style="1" customWidth="1"/>
    <col min="8" max="8" width="15.28515625" style="1" bestFit="1" customWidth="1"/>
    <col min="9" max="9" width="16.28515625" style="1" bestFit="1" customWidth="1"/>
    <col min="10" max="10" width="16.28515625" style="1" customWidth="1"/>
    <col min="11" max="11" width="13.85546875" style="1" customWidth="1"/>
    <col min="12" max="12" width="16" style="1" customWidth="1"/>
    <col min="13" max="13" width="13.28515625" style="1" customWidth="1"/>
    <col min="14" max="16384" width="9.140625" style="1"/>
  </cols>
  <sheetData>
    <row r="3" spans="2:13" x14ac:dyDescent="0.25">
      <c r="B3" s="64" t="s">
        <v>74</v>
      </c>
      <c r="C3" s="64"/>
      <c r="D3" s="64"/>
      <c r="E3" s="64"/>
      <c r="F3" s="64"/>
      <c r="G3" s="64"/>
      <c r="H3" s="64"/>
      <c r="I3" s="9"/>
      <c r="J3" s="9"/>
      <c r="K3" s="9"/>
      <c r="L3" s="9"/>
      <c r="M3" s="5"/>
    </row>
    <row r="4" spans="2:13" x14ac:dyDescent="0.25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5"/>
    </row>
    <row r="6" spans="2:13" s="9" customFormat="1" x14ac:dyDescent="0.25">
      <c r="B6" s="62" t="s">
        <v>0</v>
      </c>
      <c r="C6" s="62" t="s">
        <v>50</v>
      </c>
      <c r="D6" s="65" t="s">
        <v>75</v>
      </c>
      <c r="E6" s="66"/>
      <c r="F6" s="67" t="s">
        <v>131</v>
      </c>
      <c r="G6" s="67"/>
      <c r="H6" s="62" t="s">
        <v>76</v>
      </c>
      <c r="I6" s="62" t="s">
        <v>77</v>
      </c>
      <c r="J6" s="62" t="s">
        <v>78</v>
      </c>
      <c r="K6" s="62" t="s">
        <v>51</v>
      </c>
      <c r="L6" s="62" t="s">
        <v>52</v>
      </c>
      <c r="M6" s="62" t="s">
        <v>73</v>
      </c>
    </row>
    <row r="7" spans="2:13" s="9" customFormat="1" x14ac:dyDescent="0.25">
      <c r="B7" s="63"/>
      <c r="C7" s="63"/>
      <c r="D7" s="2" t="s">
        <v>133</v>
      </c>
      <c r="E7" s="2" t="s">
        <v>134</v>
      </c>
      <c r="F7" s="2" t="s">
        <v>133</v>
      </c>
      <c r="G7" s="2" t="s">
        <v>134</v>
      </c>
      <c r="H7" s="63"/>
      <c r="I7" s="63"/>
      <c r="J7" s="63"/>
      <c r="K7" s="63"/>
      <c r="L7" s="63"/>
      <c r="M7" s="63"/>
    </row>
    <row r="8" spans="2:13" x14ac:dyDescent="0.25">
      <c r="B8" s="4" t="s">
        <v>89</v>
      </c>
      <c r="C8" s="14"/>
      <c r="D8" s="14"/>
      <c r="E8" s="14"/>
      <c r="F8" s="14"/>
      <c r="G8" s="14"/>
      <c r="H8" s="14"/>
      <c r="I8" s="14">
        <f>H8+D8</f>
        <v>0</v>
      </c>
      <c r="J8" s="14">
        <f>C8-I8</f>
        <v>0</v>
      </c>
      <c r="K8" s="14"/>
      <c r="L8" s="14" t="e">
        <f t="shared" ref="L8:L39" si="0">K8/C8</f>
        <v>#DIV/0!</v>
      </c>
      <c r="M8" s="3" t="e">
        <f t="shared" ref="M8:M39" si="1">C8/K8</f>
        <v>#DIV/0!</v>
      </c>
    </row>
    <row r="9" spans="2:13" x14ac:dyDescent="0.25">
      <c r="B9" s="4" t="s">
        <v>90</v>
      </c>
      <c r="C9" s="14"/>
      <c r="D9" s="14"/>
      <c r="E9" s="14"/>
      <c r="F9" s="14"/>
      <c r="G9" s="14"/>
      <c r="H9" s="14"/>
      <c r="I9" s="14">
        <f t="shared" ref="I9:I38" si="2">H9+D9</f>
        <v>0</v>
      </c>
      <c r="J9" s="14">
        <f t="shared" ref="J9:J38" si="3">C9-I9</f>
        <v>0</v>
      </c>
      <c r="K9" s="14"/>
      <c r="L9" s="14" t="e">
        <f t="shared" si="0"/>
        <v>#DIV/0!</v>
      </c>
      <c r="M9" s="3" t="e">
        <f t="shared" si="1"/>
        <v>#DIV/0!</v>
      </c>
    </row>
    <row r="10" spans="2:13" x14ac:dyDescent="0.25">
      <c r="B10" s="4" t="s">
        <v>91</v>
      </c>
      <c r="C10" s="14"/>
      <c r="D10" s="14"/>
      <c r="E10" s="14"/>
      <c r="F10" s="14"/>
      <c r="G10" s="14"/>
      <c r="H10" s="14"/>
      <c r="I10" s="14">
        <f t="shared" si="2"/>
        <v>0</v>
      </c>
      <c r="J10" s="14">
        <f t="shared" si="3"/>
        <v>0</v>
      </c>
      <c r="K10" s="14"/>
      <c r="L10" s="14" t="e">
        <f t="shared" si="0"/>
        <v>#DIV/0!</v>
      </c>
      <c r="M10" s="3" t="e">
        <f t="shared" si="1"/>
        <v>#DIV/0!</v>
      </c>
    </row>
    <row r="11" spans="2:13" x14ac:dyDescent="0.25">
      <c r="B11" s="4" t="s">
        <v>92</v>
      </c>
      <c r="C11" s="14"/>
      <c r="D11" s="14"/>
      <c r="E11" s="14"/>
      <c r="F11" s="14"/>
      <c r="G11" s="14"/>
      <c r="H11" s="14"/>
      <c r="I11" s="14">
        <f t="shared" si="2"/>
        <v>0</v>
      </c>
      <c r="J11" s="14">
        <f t="shared" si="3"/>
        <v>0</v>
      </c>
      <c r="K11" s="14"/>
      <c r="L11" s="14" t="e">
        <f t="shared" si="0"/>
        <v>#DIV/0!</v>
      </c>
      <c r="M11" s="3" t="e">
        <f t="shared" si="1"/>
        <v>#DIV/0!</v>
      </c>
    </row>
    <row r="12" spans="2:13" x14ac:dyDescent="0.25">
      <c r="B12" s="4" t="s">
        <v>93</v>
      </c>
      <c r="C12" s="14"/>
      <c r="D12" s="14"/>
      <c r="E12" s="14"/>
      <c r="F12" s="14"/>
      <c r="G12" s="14"/>
      <c r="H12" s="14"/>
      <c r="I12" s="14"/>
      <c r="J12" s="14"/>
      <c r="K12" s="14"/>
      <c r="L12" s="33" t="e">
        <f t="shared" si="0"/>
        <v>#DIV/0!</v>
      </c>
      <c r="M12" s="34" t="e">
        <f t="shared" si="1"/>
        <v>#DIV/0!</v>
      </c>
    </row>
    <row r="13" spans="2:13" x14ac:dyDescent="0.25">
      <c r="B13" s="4" t="s">
        <v>94</v>
      </c>
      <c r="C13" s="14"/>
      <c r="D13" s="14"/>
      <c r="E13" s="14"/>
      <c r="F13" s="14"/>
      <c r="G13" s="14"/>
      <c r="H13" s="14"/>
      <c r="I13" s="14"/>
      <c r="J13" s="14"/>
      <c r="K13" s="14"/>
      <c r="L13" s="14" t="e">
        <f t="shared" si="0"/>
        <v>#DIV/0!</v>
      </c>
      <c r="M13" s="3" t="e">
        <f t="shared" si="1"/>
        <v>#DIV/0!</v>
      </c>
    </row>
    <row r="14" spans="2:13" x14ac:dyDescent="0.25">
      <c r="B14" s="4" t="s">
        <v>95</v>
      </c>
      <c r="C14" s="14"/>
      <c r="D14" s="14"/>
      <c r="E14" s="14"/>
      <c r="F14" s="14"/>
      <c r="G14" s="14"/>
      <c r="H14" s="14"/>
      <c r="I14" s="14">
        <f t="shared" si="2"/>
        <v>0</v>
      </c>
      <c r="J14" s="14">
        <f t="shared" si="3"/>
        <v>0</v>
      </c>
      <c r="K14" s="14"/>
      <c r="L14" s="14" t="e">
        <f t="shared" si="0"/>
        <v>#DIV/0!</v>
      </c>
      <c r="M14" s="3" t="e">
        <f t="shared" si="1"/>
        <v>#DIV/0!</v>
      </c>
    </row>
    <row r="15" spans="2:13" x14ac:dyDescent="0.25">
      <c r="B15" s="4" t="s">
        <v>96</v>
      </c>
      <c r="C15" s="14"/>
      <c r="D15" s="14"/>
      <c r="E15" s="14"/>
      <c r="F15" s="14"/>
      <c r="G15" s="14"/>
      <c r="H15" s="14"/>
      <c r="I15" s="14">
        <f t="shared" si="2"/>
        <v>0</v>
      </c>
      <c r="J15" s="14">
        <f t="shared" si="3"/>
        <v>0</v>
      </c>
      <c r="K15" s="14"/>
      <c r="L15" s="14" t="e">
        <f t="shared" si="0"/>
        <v>#DIV/0!</v>
      </c>
      <c r="M15" s="3" t="e">
        <f t="shared" si="1"/>
        <v>#DIV/0!</v>
      </c>
    </row>
    <row r="16" spans="2:13" x14ac:dyDescent="0.25">
      <c r="B16" s="4" t="s">
        <v>97</v>
      </c>
      <c r="C16" s="14"/>
      <c r="D16" s="14"/>
      <c r="E16" s="14"/>
      <c r="F16" s="14"/>
      <c r="G16" s="14"/>
      <c r="H16" s="14"/>
      <c r="I16" s="14">
        <f t="shared" si="2"/>
        <v>0</v>
      </c>
      <c r="J16" s="14">
        <f t="shared" si="3"/>
        <v>0</v>
      </c>
      <c r="K16" s="14"/>
      <c r="L16" s="14" t="e">
        <f t="shared" si="0"/>
        <v>#DIV/0!</v>
      </c>
      <c r="M16" s="3" t="e">
        <f t="shared" si="1"/>
        <v>#DIV/0!</v>
      </c>
    </row>
    <row r="17" spans="2:13" x14ac:dyDescent="0.25">
      <c r="B17" s="4" t="s">
        <v>98</v>
      </c>
      <c r="C17" s="14"/>
      <c r="D17" s="14"/>
      <c r="E17" s="14"/>
      <c r="F17" s="14"/>
      <c r="G17" s="14"/>
      <c r="H17" s="14"/>
      <c r="I17" s="14">
        <f t="shared" si="2"/>
        <v>0</v>
      </c>
      <c r="J17" s="14">
        <f t="shared" si="3"/>
        <v>0</v>
      </c>
      <c r="K17" s="14"/>
      <c r="L17" s="14" t="e">
        <f t="shared" si="0"/>
        <v>#DIV/0!</v>
      </c>
      <c r="M17" s="3" t="e">
        <f t="shared" si="1"/>
        <v>#DIV/0!</v>
      </c>
    </row>
    <row r="18" spans="2:13" x14ac:dyDescent="0.25">
      <c r="B18" s="4" t="s">
        <v>99</v>
      </c>
      <c r="C18" s="14"/>
      <c r="D18" s="14"/>
      <c r="E18" s="14"/>
      <c r="F18" s="14"/>
      <c r="G18" s="14"/>
      <c r="H18" s="14"/>
      <c r="I18" s="14">
        <f t="shared" si="2"/>
        <v>0</v>
      </c>
      <c r="J18" s="14">
        <f t="shared" si="3"/>
        <v>0</v>
      </c>
      <c r="K18" s="14"/>
      <c r="L18" s="14" t="e">
        <f t="shared" si="0"/>
        <v>#DIV/0!</v>
      </c>
      <c r="M18" s="3" t="e">
        <f t="shared" si="1"/>
        <v>#DIV/0!</v>
      </c>
    </row>
    <row r="19" spans="2:13" x14ac:dyDescent="0.25">
      <c r="B19" s="4" t="s">
        <v>100</v>
      </c>
      <c r="C19" s="14"/>
      <c r="D19" s="14"/>
      <c r="E19" s="14"/>
      <c r="F19" s="14"/>
      <c r="G19" s="14"/>
      <c r="H19" s="14"/>
      <c r="I19" s="14">
        <f t="shared" si="2"/>
        <v>0</v>
      </c>
      <c r="J19" s="14">
        <f t="shared" si="3"/>
        <v>0</v>
      </c>
      <c r="K19" s="14"/>
      <c r="L19" s="14" t="e">
        <f t="shared" si="0"/>
        <v>#DIV/0!</v>
      </c>
      <c r="M19" s="3" t="e">
        <f t="shared" si="1"/>
        <v>#DIV/0!</v>
      </c>
    </row>
    <row r="20" spans="2:13" x14ac:dyDescent="0.25">
      <c r="B20" s="4" t="s">
        <v>101</v>
      </c>
      <c r="C20" s="14"/>
      <c r="D20" s="14"/>
      <c r="E20" s="14"/>
      <c r="F20" s="14"/>
      <c r="G20" s="14"/>
      <c r="H20" s="14"/>
      <c r="I20" s="14">
        <f t="shared" si="2"/>
        <v>0</v>
      </c>
      <c r="J20" s="14">
        <f t="shared" si="3"/>
        <v>0</v>
      </c>
      <c r="K20" s="14"/>
      <c r="L20" s="14" t="e">
        <f t="shared" si="0"/>
        <v>#DIV/0!</v>
      </c>
      <c r="M20" s="3" t="e">
        <f t="shared" si="1"/>
        <v>#DIV/0!</v>
      </c>
    </row>
    <row r="21" spans="2:13" x14ac:dyDescent="0.25">
      <c r="B21" s="4" t="s">
        <v>102</v>
      </c>
      <c r="C21" s="14"/>
      <c r="D21" s="14"/>
      <c r="E21" s="14"/>
      <c r="F21" s="14"/>
      <c r="G21" s="14"/>
      <c r="H21" s="14"/>
      <c r="I21" s="14">
        <f t="shared" si="2"/>
        <v>0</v>
      </c>
      <c r="J21" s="14">
        <f t="shared" si="3"/>
        <v>0</v>
      </c>
      <c r="K21" s="14"/>
      <c r="L21" s="14" t="e">
        <f t="shared" si="0"/>
        <v>#DIV/0!</v>
      </c>
      <c r="M21" s="3" t="e">
        <f t="shared" si="1"/>
        <v>#DIV/0!</v>
      </c>
    </row>
    <row r="22" spans="2:13" x14ac:dyDescent="0.25">
      <c r="B22" s="4" t="s">
        <v>103</v>
      </c>
      <c r="C22" s="14"/>
      <c r="D22" s="14"/>
      <c r="E22" s="14"/>
      <c r="F22" s="14"/>
      <c r="G22" s="14"/>
      <c r="H22" s="14"/>
      <c r="I22" s="14">
        <f t="shared" si="2"/>
        <v>0</v>
      </c>
      <c r="J22" s="14">
        <f t="shared" si="3"/>
        <v>0</v>
      </c>
      <c r="K22" s="14"/>
      <c r="L22" s="14" t="e">
        <f t="shared" si="0"/>
        <v>#DIV/0!</v>
      </c>
      <c r="M22" s="3" t="e">
        <f t="shared" si="1"/>
        <v>#DIV/0!</v>
      </c>
    </row>
    <row r="23" spans="2:13" x14ac:dyDescent="0.25">
      <c r="B23" s="4" t="s">
        <v>104</v>
      </c>
      <c r="C23" s="14"/>
      <c r="D23" s="14"/>
      <c r="E23" s="14"/>
      <c r="F23" s="14"/>
      <c r="G23" s="14"/>
      <c r="H23" s="14"/>
      <c r="I23" s="14">
        <f t="shared" si="2"/>
        <v>0</v>
      </c>
      <c r="J23" s="14">
        <f t="shared" si="3"/>
        <v>0</v>
      </c>
      <c r="K23" s="14"/>
      <c r="L23" s="14" t="e">
        <f t="shared" si="0"/>
        <v>#DIV/0!</v>
      </c>
      <c r="M23" s="3" t="e">
        <f t="shared" si="1"/>
        <v>#DIV/0!</v>
      </c>
    </row>
    <row r="24" spans="2:13" x14ac:dyDescent="0.25">
      <c r="B24" s="4" t="s">
        <v>105</v>
      </c>
      <c r="C24" s="14"/>
      <c r="D24" s="14"/>
      <c r="E24" s="14"/>
      <c r="F24" s="14"/>
      <c r="G24" s="14"/>
      <c r="H24" s="14"/>
      <c r="I24" s="14">
        <f t="shared" si="2"/>
        <v>0</v>
      </c>
      <c r="J24" s="14">
        <f t="shared" si="3"/>
        <v>0</v>
      </c>
      <c r="K24" s="14"/>
      <c r="L24" s="14" t="e">
        <f t="shared" si="0"/>
        <v>#DIV/0!</v>
      </c>
      <c r="M24" s="3" t="e">
        <f t="shared" si="1"/>
        <v>#DIV/0!</v>
      </c>
    </row>
    <row r="25" spans="2:13" x14ac:dyDescent="0.25">
      <c r="B25" s="4" t="s">
        <v>106</v>
      </c>
      <c r="C25" s="14"/>
      <c r="D25" s="14"/>
      <c r="E25" s="14"/>
      <c r="F25" s="14"/>
      <c r="G25" s="14"/>
      <c r="H25" s="14"/>
      <c r="I25" s="14">
        <f t="shared" si="2"/>
        <v>0</v>
      </c>
      <c r="J25" s="14">
        <f t="shared" si="3"/>
        <v>0</v>
      </c>
      <c r="K25" s="14"/>
      <c r="L25" s="14" t="e">
        <f t="shared" si="0"/>
        <v>#DIV/0!</v>
      </c>
      <c r="M25" s="3" t="e">
        <f t="shared" si="1"/>
        <v>#DIV/0!</v>
      </c>
    </row>
    <row r="26" spans="2:13" x14ac:dyDescent="0.25">
      <c r="B26" s="4" t="s">
        <v>107</v>
      </c>
      <c r="C26" s="14"/>
      <c r="D26" s="14"/>
      <c r="E26" s="14"/>
      <c r="F26" s="14"/>
      <c r="G26" s="14"/>
      <c r="H26" s="14"/>
      <c r="I26" s="14">
        <f t="shared" si="2"/>
        <v>0</v>
      </c>
      <c r="J26" s="14">
        <f t="shared" si="3"/>
        <v>0</v>
      </c>
      <c r="K26" s="14"/>
      <c r="L26" s="14" t="e">
        <f t="shared" si="0"/>
        <v>#DIV/0!</v>
      </c>
      <c r="M26" s="3" t="e">
        <f t="shared" si="1"/>
        <v>#DIV/0!</v>
      </c>
    </row>
    <row r="27" spans="2:13" x14ac:dyDescent="0.25">
      <c r="B27" s="4" t="s">
        <v>108</v>
      </c>
      <c r="C27" s="14"/>
      <c r="D27" s="14"/>
      <c r="E27" s="14"/>
      <c r="F27" s="14"/>
      <c r="G27" s="14"/>
      <c r="H27" s="14"/>
      <c r="I27" s="14">
        <f t="shared" si="2"/>
        <v>0</v>
      </c>
      <c r="J27" s="14">
        <f t="shared" si="3"/>
        <v>0</v>
      </c>
      <c r="K27" s="14"/>
      <c r="L27" s="14" t="e">
        <f t="shared" si="0"/>
        <v>#DIV/0!</v>
      </c>
      <c r="M27" s="3" t="e">
        <f t="shared" si="1"/>
        <v>#DIV/0!</v>
      </c>
    </row>
    <row r="28" spans="2:13" x14ac:dyDescent="0.25">
      <c r="B28" s="4" t="s">
        <v>109</v>
      </c>
      <c r="C28" s="14"/>
      <c r="D28" s="14"/>
      <c r="E28" s="14"/>
      <c r="F28" s="14"/>
      <c r="G28" s="14"/>
      <c r="H28" s="14"/>
      <c r="I28" s="14">
        <f t="shared" si="2"/>
        <v>0</v>
      </c>
      <c r="J28" s="14">
        <f t="shared" si="3"/>
        <v>0</v>
      </c>
      <c r="K28" s="14"/>
      <c r="L28" s="14" t="e">
        <f t="shared" si="0"/>
        <v>#DIV/0!</v>
      </c>
      <c r="M28" s="3" t="e">
        <f t="shared" si="1"/>
        <v>#DIV/0!</v>
      </c>
    </row>
    <row r="29" spans="2:13" x14ac:dyDescent="0.25">
      <c r="B29" s="4" t="s">
        <v>110</v>
      </c>
      <c r="C29" s="14"/>
      <c r="D29" s="14"/>
      <c r="E29" s="14"/>
      <c r="F29" s="14"/>
      <c r="G29" s="14"/>
      <c r="H29" s="14"/>
      <c r="I29" s="14">
        <f t="shared" si="2"/>
        <v>0</v>
      </c>
      <c r="J29" s="14">
        <f t="shared" si="3"/>
        <v>0</v>
      </c>
      <c r="K29" s="14"/>
      <c r="L29" s="14" t="e">
        <f t="shared" si="0"/>
        <v>#DIV/0!</v>
      </c>
      <c r="M29" s="3" t="e">
        <f t="shared" si="1"/>
        <v>#DIV/0!</v>
      </c>
    </row>
    <row r="30" spans="2:13" x14ac:dyDescent="0.25">
      <c r="B30" s="4" t="s">
        <v>111</v>
      </c>
      <c r="C30" s="14"/>
      <c r="D30" s="14"/>
      <c r="E30" s="14"/>
      <c r="F30" s="14"/>
      <c r="G30" s="14"/>
      <c r="H30" s="14"/>
      <c r="I30" s="14">
        <f t="shared" si="2"/>
        <v>0</v>
      </c>
      <c r="J30" s="14">
        <f t="shared" si="3"/>
        <v>0</v>
      </c>
      <c r="K30" s="14"/>
      <c r="L30" s="14" t="e">
        <f t="shared" si="0"/>
        <v>#DIV/0!</v>
      </c>
      <c r="M30" s="3" t="e">
        <f t="shared" si="1"/>
        <v>#DIV/0!</v>
      </c>
    </row>
    <row r="31" spans="2:13" x14ac:dyDescent="0.25">
      <c r="B31" s="4" t="s">
        <v>112</v>
      </c>
      <c r="C31" s="14"/>
      <c r="D31" s="14"/>
      <c r="E31" s="14"/>
      <c r="F31" s="14"/>
      <c r="G31" s="14"/>
      <c r="H31" s="14"/>
      <c r="I31" s="14">
        <f t="shared" si="2"/>
        <v>0</v>
      </c>
      <c r="J31" s="14">
        <f t="shared" si="3"/>
        <v>0</v>
      </c>
      <c r="K31" s="14"/>
      <c r="L31" s="14" t="e">
        <f t="shared" si="0"/>
        <v>#DIV/0!</v>
      </c>
      <c r="M31" s="3" t="e">
        <f t="shared" si="1"/>
        <v>#DIV/0!</v>
      </c>
    </row>
    <row r="32" spans="2:13" x14ac:dyDescent="0.25">
      <c r="B32" s="4" t="s">
        <v>113</v>
      </c>
      <c r="C32" s="14"/>
      <c r="D32" s="14"/>
      <c r="E32" s="14"/>
      <c r="F32" s="14"/>
      <c r="G32" s="14"/>
      <c r="H32" s="14"/>
      <c r="I32" s="14">
        <f t="shared" si="2"/>
        <v>0</v>
      </c>
      <c r="J32" s="14">
        <f t="shared" si="3"/>
        <v>0</v>
      </c>
      <c r="K32" s="14"/>
      <c r="L32" s="14" t="e">
        <f t="shared" si="0"/>
        <v>#DIV/0!</v>
      </c>
      <c r="M32" s="3" t="e">
        <f t="shared" si="1"/>
        <v>#DIV/0!</v>
      </c>
    </row>
    <row r="33" spans="2:13" x14ac:dyDescent="0.25">
      <c r="B33" s="4" t="s">
        <v>114</v>
      </c>
      <c r="C33" s="14"/>
      <c r="D33" s="14"/>
      <c r="E33" s="14"/>
      <c r="F33" s="14"/>
      <c r="G33" s="14"/>
      <c r="H33" s="14"/>
      <c r="I33" s="14">
        <f t="shared" si="2"/>
        <v>0</v>
      </c>
      <c r="J33" s="14">
        <f t="shared" si="3"/>
        <v>0</v>
      </c>
      <c r="K33" s="14"/>
      <c r="L33" s="14" t="e">
        <f t="shared" si="0"/>
        <v>#DIV/0!</v>
      </c>
      <c r="M33" s="3" t="e">
        <f t="shared" si="1"/>
        <v>#DIV/0!</v>
      </c>
    </row>
    <row r="34" spans="2:13" x14ac:dyDescent="0.25">
      <c r="B34" s="4" t="s">
        <v>115</v>
      </c>
      <c r="C34" s="14"/>
      <c r="D34" s="14"/>
      <c r="E34" s="14"/>
      <c r="F34" s="14"/>
      <c r="G34" s="14"/>
      <c r="H34" s="14"/>
      <c r="I34" s="14">
        <f t="shared" si="2"/>
        <v>0</v>
      </c>
      <c r="J34" s="14">
        <f t="shared" si="3"/>
        <v>0</v>
      </c>
      <c r="K34" s="14"/>
      <c r="L34" s="14" t="e">
        <f t="shared" si="0"/>
        <v>#DIV/0!</v>
      </c>
      <c r="M34" s="3" t="e">
        <f t="shared" si="1"/>
        <v>#DIV/0!</v>
      </c>
    </row>
    <row r="35" spans="2:13" x14ac:dyDescent="0.25">
      <c r="B35" s="4" t="s">
        <v>116</v>
      </c>
      <c r="C35" s="14"/>
      <c r="D35" s="14"/>
      <c r="E35" s="14"/>
      <c r="F35" s="14"/>
      <c r="G35" s="14"/>
      <c r="H35" s="14"/>
      <c r="I35" s="14">
        <f t="shared" si="2"/>
        <v>0</v>
      </c>
      <c r="J35" s="14">
        <f t="shared" si="3"/>
        <v>0</v>
      </c>
      <c r="K35" s="14"/>
      <c r="L35" s="14" t="e">
        <f t="shared" si="0"/>
        <v>#DIV/0!</v>
      </c>
      <c r="M35" s="3" t="e">
        <f t="shared" si="1"/>
        <v>#DIV/0!</v>
      </c>
    </row>
    <row r="36" spans="2:13" x14ac:dyDescent="0.25">
      <c r="B36" s="4"/>
      <c r="C36" s="14"/>
      <c r="D36" s="14"/>
      <c r="E36" s="14"/>
      <c r="F36" s="14"/>
      <c r="G36" s="14"/>
      <c r="H36" s="14"/>
      <c r="I36" s="14">
        <f t="shared" si="2"/>
        <v>0</v>
      </c>
      <c r="J36" s="14">
        <f t="shared" si="3"/>
        <v>0</v>
      </c>
      <c r="K36" s="14"/>
      <c r="L36" s="14" t="e">
        <f t="shared" si="0"/>
        <v>#DIV/0!</v>
      </c>
      <c r="M36" s="3" t="e">
        <f t="shared" si="1"/>
        <v>#DIV/0!</v>
      </c>
    </row>
    <row r="37" spans="2:13" x14ac:dyDescent="0.25">
      <c r="B37" s="4"/>
      <c r="C37" s="14"/>
      <c r="D37" s="14"/>
      <c r="E37" s="14"/>
      <c r="F37" s="14"/>
      <c r="G37" s="14"/>
      <c r="H37" s="14"/>
      <c r="I37" s="14">
        <f t="shared" si="2"/>
        <v>0</v>
      </c>
      <c r="J37" s="14">
        <f t="shared" si="3"/>
        <v>0</v>
      </c>
      <c r="K37" s="14"/>
      <c r="L37" s="14" t="e">
        <f t="shared" si="0"/>
        <v>#DIV/0!</v>
      </c>
      <c r="M37" s="3" t="e">
        <f t="shared" si="1"/>
        <v>#DIV/0!</v>
      </c>
    </row>
    <row r="38" spans="2:13" x14ac:dyDescent="0.25">
      <c r="B38" s="4"/>
      <c r="C38" s="14"/>
      <c r="D38" s="14"/>
      <c r="E38" s="14"/>
      <c r="F38" s="14"/>
      <c r="G38" s="14"/>
      <c r="H38" s="14"/>
      <c r="I38" s="14">
        <f t="shared" si="2"/>
        <v>0</v>
      </c>
      <c r="J38" s="14">
        <f t="shared" si="3"/>
        <v>0</v>
      </c>
      <c r="K38" s="14"/>
      <c r="L38" s="14" t="e">
        <f t="shared" si="0"/>
        <v>#DIV/0!</v>
      </c>
      <c r="M38" s="3" t="e">
        <f t="shared" si="1"/>
        <v>#DIV/0!</v>
      </c>
    </row>
    <row r="39" spans="2:13" x14ac:dyDescent="0.25">
      <c r="B39" s="4" t="s">
        <v>48</v>
      </c>
      <c r="C39" s="14"/>
      <c r="D39" s="14"/>
      <c r="E39" s="14"/>
      <c r="F39" s="14"/>
      <c r="G39" s="14"/>
      <c r="H39" s="14"/>
      <c r="I39" s="14"/>
      <c r="J39" s="14"/>
      <c r="K39" s="14"/>
      <c r="L39" s="14" t="e">
        <f t="shared" si="0"/>
        <v>#DIV/0!</v>
      </c>
      <c r="M39" s="3" t="e">
        <f t="shared" si="1"/>
        <v>#DIV/0!</v>
      </c>
    </row>
  </sheetData>
  <mergeCells count="11">
    <mergeCell ref="B3:H3"/>
    <mergeCell ref="D6:E6"/>
    <mergeCell ref="C6:C7"/>
    <mergeCell ref="B6:B7"/>
    <mergeCell ref="H6:H7"/>
    <mergeCell ref="F6:G6"/>
    <mergeCell ref="I6:I7"/>
    <mergeCell ref="J6:J7"/>
    <mergeCell ref="K6:K7"/>
    <mergeCell ref="L6:L7"/>
    <mergeCell ref="M6:M7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47809-9DCB-4281-9D14-0E76A0A29B08}">
  <dimension ref="B3:S98"/>
  <sheetViews>
    <sheetView tabSelected="1" workbookViewId="0">
      <selection activeCell="D13" sqref="D13"/>
    </sheetView>
  </sheetViews>
  <sheetFormatPr defaultRowHeight="15" x14ac:dyDescent="0.25"/>
  <cols>
    <col min="2" max="2" width="12.28515625" customWidth="1"/>
    <col min="3" max="3" width="11.5703125" bestFit="1" customWidth="1"/>
    <col min="4" max="4" width="15.42578125" customWidth="1"/>
    <col min="5" max="5" width="14.140625" customWidth="1"/>
    <col min="6" max="6" width="13.5703125" customWidth="1"/>
    <col min="10" max="10" width="14" customWidth="1"/>
    <col min="12" max="12" width="11.42578125" bestFit="1" customWidth="1"/>
    <col min="13" max="13" width="13.5703125" customWidth="1"/>
    <col min="14" max="14" width="15.85546875" bestFit="1" customWidth="1"/>
    <col min="17" max="17" width="10.85546875" customWidth="1"/>
    <col min="18" max="18" width="12.85546875" customWidth="1"/>
    <col min="19" max="19" width="13" customWidth="1"/>
  </cols>
  <sheetData>
    <row r="3" spans="2:19" x14ac:dyDescent="0.25">
      <c r="B3" s="35" t="s">
        <v>142</v>
      </c>
    </row>
    <row r="4" spans="2:19" x14ac:dyDescent="0.25">
      <c r="B4" s="35"/>
    </row>
    <row r="5" spans="2:19" x14ac:dyDescent="0.25">
      <c r="B5" s="42" t="s">
        <v>143</v>
      </c>
      <c r="J5" s="43" t="s">
        <v>144</v>
      </c>
      <c r="P5" s="43" t="s">
        <v>145</v>
      </c>
    </row>
    <row r="6" spans="2:19" s="36" customFormat="1" x14ac:dyDescent="0.25">
      <c r="B6" s="35" t="s">
        <v>130</v>
      </c>
      <c r="J6" s="35" t="s">
        <v>138</v>
      </c>
      <c r="P6" s="35" t="s">
        <v>140</v>
      </c>
    </row>
    <row r="7" spans="2:19" s="36" customFormat="1" x14ac:dyDescent="0.25">
      <c r="B7" s="39" t="s">
        <v>121</v>
      </c>
      <c r="C7" s="39" t="s">
        <v>118</v>
      </c>
      <c r="D7" s="39" t="s">
        <v>119</v>
      </c>
      <c r="E7" s="39" t="s">
        <v>120</v>
      </c>
      <c r="F7" s="39" t="s">
        <v>124</v>
      </c>
      <c r="G7" s="39" t="s">
        <v>125</v>
      </c>
      <c r="H7" s="39" t="s">
        <v>73</v>
      </c>
      <c r="J7" s="39" t="s">
        <v>121</v>
      </c>
      <c r="K7" s="39" t="s">
        <v>118</v>
      </c>
      <c r="L7" s="39" t="s">
        <v>137</v>
      </c>
      <c r="M7" s="39" t="s">
        <v>120</v>
      </c>
      <c r="N7" s="39" t="s">
        <v>132</v>
      </c>
      <c r="P7" s="39" t="s">
        <v>121</v>
      </c>
      <c r="Q7" s="39" t="s">
        <v>118</v>
      </c>
      <c r="R7" s="39" t="s">
        <v>175</v>
      </c>
      <c r="S7" s="39" t="s">
        <v>120</v>
      </c>
    </row>
    <row r="8" spans="2:19" s="36" customFormat="1" x14ac:dyDescent="0.25">
      <c r="B8" s="37" t="s">
        <v>122</v>
      </c>
      <c r="C8" s="38">
        <f>C18</f>
        <v>60000000</v>
      </c>
      <c r="D8" s="38"/>
      <c r="E8" s="38">
        <f>D8/C8</f>
        <v>0</v>
      </c>
      <c r="F8" s="38"/>
      <c r="G8" s="38" t="e">
        <f>F8/D8</f>
        <v>#DIV/0!</v>
      </c>
      <c r="H8" s="38" t="e">
        <f>D8/F8</f>
        <v>#DIV/0!</v>
      </c>
      <c r="J8" s="37" t="s">
        <v>122</v>
      </c>
      <c r="K8" s="38"/>
      <c r="L8" s="38"/>
      <c r="M8" s="38" t="e">
        <f>L8/K8</f>
        <v>#DIV/0!</v>
      </c>
      <c r="N8" s="38" t="e">
        <f>F8/L8</f>
        <v>#DIV/0!</v>
      </c>
      <c r="P8" s="37" t="s">
        <v>135</v>
      </c>
      <c r="Q8" s="38"/>
      <c r="R8" s="38"/>
      <c r="S8" s="38" t="e">
        <f>R8/Q8</f>
        <v>#DIV/0!</v>
      </c>
    </row>
    <row r="9" spans="2:19" x14ac:dyDescent="0.25">
      <c r="B9" s="37" t="s">
        <v>135</v>
      </c>
      <c r="C9" s="38"/>
      <c r="D9" s="38"/>
      <c r="E9" s="38" t="e">
        <f>D9/C9</f>
        <v>#DIV/0!</v>
      </c>
      <c r="F9" s="40"/>
      <c r="G9" s="38" t="e">
        <f>F9/D9</f>
        <v>#DIV/0!</v>
      </c>
      <c r="H9" s="38" t="e">
        <f t="shared" ref="H9:H10" si="0">D9/F9</f>
        <v>#DIV/0!</v>
      </c>
      <c r="J9" s="37" t="s">
        <v>48</v>
      </c>
      <c r="K9" s="41">
        <f>SUM(K8:K8)</f>
        <v>0</v>
      </c>
      <c r="L9" s="41">
        <f>SUM(L8:L8)</f>
        <v>0</v>
      </c>
      <c r="M9" s="41" t="e">
        <f>L9/K9</f>
        <v>#DIV/0!</v>
      </c>
      <c r="N9" s="41" t="e">
        <f>SUM(N8:N8)</f>
        <v>#DIV/0!</v>
      </c>
      <c r="P9" s="37" t="s">
        <v>48</v>
      </c>
      <c r="Q9" s="41">
        <f>SUM(Q8:Q8)</f>
        <v>0</v>
      </c>
      <c r="R9" s="41">
        <f>SUM(R8:R8)</f>
        <v>0</v>
      </c>
      <c r="S9" s="41" t="e">
        <f>R9/Q9</f>
        <v>#DIV/0!</v>
      </c>
    </row>
    <row r="10" spans="2:19" x14ac:dyDescent="0.25">
      <c r="B10" s="37" t="s">
        <v>48</v>
      </c>
      <c r="C10" s="41">
        <f>SUM(C8:C9)</f>
        <v>60000000</v>
      </c>
      <c r="D10" s="41">
        <f>SUM(D8:D9)</f>
        <v>0</v>
      </c>
      <c r="E10" s="41">
        <f>D10/C10</f>
        <v>0</v>
      </c>
      <c r="F10" s="41">
        <f>SUM(F8:F9)</f>
        <v>0</v>
      </c>
      <c r="G10" s="37" t="e">
        <f>F10/D10</f>
        <v>#DIV/0!</v>
      </c>
      <c r="H10" s="37" t="e">
        <f t="shared" si="0"/>
        <v>#DIV/0!</v>
      </c>
    </row>
    <row r="13" spans="2:19" x14ac:dyDescent="0.25">
      <c r="B13" s="35" t="s">
        <v>187</v>
      </c>
      <c r="J13" s="35" t="s">
        <v>139</v>
      </c>
      <c r="P13" s="35" t="s">
        <v>141</v>
      </c>
    </row>
    <row r="14" spans="2:19" x14ac:dyDescent="0.25">
      <c r="B14" s="39" t="s">
        <v>127</v>
      </c>
      <c r="C14" s="39" t="s">
        <v>118</v>
      </c>
      <c r="D14" s="39" t="s">
        <v>119</v>
      </c>
      <c r="E14" s="39" t="s">
        <v>120</v>
      </c>
      <c r="F14" s="39" t="s">
        <v>124</v>
      </c>
      <c r="G14" s="39" t="s">
        <v>125</v>
      </c>
      <c r="H14" s="39" t="s">
        <v>73</v>
      </c>
      <c r="J14" s="39" t="s">
        <v>127</v>
      </c>
      <c r="K14" s="39" t="s">
        <v>118</v>
      </c>
      <c r="L14" s="39" t="s">
        <v>137</v>
      </c>
      <c r="M14" s="39" t="s">
        <v>120</v>
      </c>
      <c r="N14" s="39" t="s">
        <v>132</v>
      </c>
      <c r="P14" s="39" t="s">
        <v>135</v>
      </c>
      <c r="Q14" s="39" t="s">
        <v>118</v>
      </c>
      <c r="R14" s="39" t="s">
        <v>175</v>
      </c>
      <c r="S14" s="39" t="s">
        <v>120</v>
      </c>
    </row>
    <row r="15" spans="2:19" x14ac:dyDescent="0.25">
      <c r="B15" s="37" t="s">
        <v>183</v>
      </c>
      <c r="C15" s="68">
        <f>SUM('Target Harian'!$C$29:$C$34)</f>
        <v>20000000</v>
      </c>
      <c r="D15" s="38"/>
      <c r="E15" s="38">
        <f>D15/C15</f>
        <v>0</v>
      </c>
      <c r="F15" s="38"/>
      <c r="G15" s="38" t="e">
        <f>F15/D15</f>
        <v>#DIV/0!</v>
      </c>
      <c r="H15" s="38" t="e">
        <f>D15/F15</f>
        <v>#DIV/0!</v>
      </c>
      <c r="J15" s="37" t="s">
        <v>183</v>
      </c>
      <c r="K15" s="38"/>
      <c r="L15" s="38"/>
      <c r="M15" s="38" t="e">
        <f>L15/K15</f>
        <v>#DIV/0!</v>
      </c>
      <c r="N15" s="38" t="e">
        <f>F15/L15</f>
        <v>#DIV/0!</v>
      </c>
      <c r="P15" s="37" t="s">
        <v>128</v>
      </c>
      <c r="Q15" s="38"/>
      <c r="R15" s="38"/>
      <c r="S15" s="38" t="e">
        <f>R15/Q15</f>
        <v>#DIV/0!</v>
      </c>
    </row>
    <row r="16" spans="2:19" x14ac:dyDescent="0.25">
      <c r="B16" s="37" t="s">
        <v>184</v>
      </c>
      <c r="C16" s="68">
        <f>SUM('Target Harian'!$C$29:$C$34)</f>
        <v>20000000</v>
      </c>
      <c r="D16" s="38"/>
      <c r="E16" s="38"/>
      <c r="F16" s="38"/>
      <c r="G16" s="38"/>
      <c r="H16" s="38"/>
      <c r="J16" s="37" t="s">
        <v>184</v>
      </c>
      <c r="K16" s="38"/>
      <c r="L16" s="38"/>
      <c r="M16" s="38"/>
      <c r="N16" s="38"/>
      <c r="P16" s="37"/>
      <c r="Q16" s="38"/>
      <c r="R16" s="38"/>
      <c r="S16" s="38"/>
    </row>
    <row r="17" spans="2:19" x14ac:dyDescent="0.25">
      <c r="B17" s="37" t="s">
        <v>185</v>
      </c>
      <c r="C17" s="68">
        <f>SUM('Target Harian'!$C$29:$C$34)</f>
        <v>20000000</v>
      </c>
      <c r="D17" s="38"/>
      <c r="E17" s="38">
        <f>D17/C17</f>
        <v>0</v>
      </c>
      <c r="F17" s="40"/>
      <c r="G17" s="38" t="e">
        <f>F17/D17</f>
        <v>#DIV/0!</v>
      </c>
      <c r="H17" s="38" t="e">
        <f t="shared" ref="H17:H18" si="1">D17/F17</f>
        <v>#DIV/0!</v>
      </c>
      <c r="J17" s="37" t="s">
        <v>185</v>
      </c>
      <c r="K17" s="38"/>
      <c r="L17" s="38"/>
      <c r="M17" s="38" t="e">
        <f>L17/K17</f>
        <v>#DIV/0!</v>
      </c>
      <c r="N17" s="38" t="e">
        <f>F17/L17</f>
        <v>#DIV/0!</v>
      </c>
      <c r="P17" s="37" t="s">
        <v>129</v>
      </c>
      <c r="Q17" s="38"/>
      <c r="R17" s="38"/>
      <c r="S17" s="38" t="e">
        <f>R17/Q17</f>
        <v>#DIV/0!</v>
      </c>
    </row>
    <row r="18" spans="2:19" x14ac:dyDescent="0.25">
      <c r="B18" s="37" t="s">
        <v>48</v>
      </c>
      <c r="C18" s="41">
        <f>SUM(C15:C17)</f>
        <v>60000000</v>
      </c>
      <c r="D18" s="41">
        <f>SUM(D15:D17)</f>
        <v>0</v>
      </c>
      <c r="E18" s="41">
        <f>D18/C18</f>
        <v>0</v>
      </c>
      <c r="F18" s="41">
        <f>SUM(F15:F17)</f>
        <v>0</v>
      </c>
      <c r="G18" s="37" t="e">
        <f>F18/D18</f>
        <v>#DIV/0!</v>
      </c>
      <c r="H18" s="37" t="e">
        <f t="shared" si="1"/>
        <v>#DIV/0!</v>
      </c>
      <c r="J18" s="37" t="s">
        <v>48</v>
      </c>
      <c r="K18" s="41">
        <f>SUM(K15:K17)</f>
        <v>0</v>
      </c>
      <c r="L18" s="41">
        <f>SUM(L15:L17)</f>
        <v>0</v>
      </c>
      <c r="M18" s="41" t="e">
        <f>L18/K18</f>
        <v>#DIV/0!</v>
      </c>
      <c r="N18" s="41" t="e">
        <f>SUM(N15:N17)</f>
        <v>#DIV/0!</v>
      </c>
      <c r="P18" s="37" t="s">
        <v>48</v>
      </c>
      <c r="Q18" s="41">
        <f>SUM(Q15:Q17)</f>
        <v>0</v>
      </c>
      <c r="R18" s="41">
        <f>SUM(R15:R17)</f>
        <v>0</v>
      </c>
      <c r="S18" s="41" t="e">
        <f>R18/Q18</f>
        <v>#DIV/0!</v>
      </c>
    </row>
    <row r="21" spans="2:19" x14ac:dyDescent="0.25">
      <c r="B21" s="35" t="s">
        <v>136</v>
      </c>
    </row>
    <row r="22" spans="2:19" x14ac:dyDescent="0.25">
      <c r="B22" s="39" t="s">
        <v>135</v>
      </c>
      <c r="C22" s="39" t="s">
        <v>118</v>
      </c>
      <c r="D22" s="39" t="s">
        <v>119</v>
      </c>
      <c r="E22" s="39" t="s">
        <v>120</v>
      </c>
      <c r="F22" s="39" t="s">
        <v>124</v>
      </c>
      <c r="G22" s="39" t="s">
        <v>125</v>
      </c>
      <c r="H22" s="39" t="s">
        <v>73</v>
      </c>
    </row>
    <row r="23" spans="2:19" x14ac:dyDescent="0.25">
      <c r="B23" s="37" t="s">
        <v>186</v>
      </c>
      <c r="C23" s="38"/>
      <c r="D23" s="38"/>
      <c r="E23" s="38" t="e">
        <f>D23/C23</f>
        <v>#DIV/0!</v>
      </c>
      <c r="F23" s="38"/>
      <c r="G23" s="38" t="e">
        <f>F23/D23</f>
        <v>#DIV/0!</v>
      </c>
      <c r="H23" s="38" t="e">
        <f>D23/F23</f>
        <v>#DIV/0!</v>
      </c>
    </row>
    <row r="24" spans="2:19" x14ac:dyDescent="0.25">
      <c r="B24" s="37" t="s">
        <v>48</v>
      </c>
      <c r="C24" s="41">
        <f>SUM(C23:C23)</f>
        <v>0</v>
      </c>
      <c r="D24" s="41">
        <f>SUM(D23:D23)</f>
        <v>0</v>
      </c>
      <c r="E24" s="41" t="e">
        <f>D24/C24</f>
        <v>#DIV/0!</v>
      </c>
      <c r="F24" s="41">
        <f>SUM(F23:F23)</f>
        <v>0</v>
      </c>
      <c r="G24" s="37" t="e">
        <f>F24/D24</f>
        <v>#DIV/0!</v>
      </c>
      <c r="H24" s="37" t="e">
        <f t="shared" ref="H24" si="2">D24/F24</f>
        <v>#DIV/0!</v>
      </c>
    </row>
    <row r="27" spans="2:19" x14ac:dyDescent="0.25">
      <c r="B27" s="44" t="s">
        <v>146</v>
      </c>
      <c r="J27" s="45" t="s">
        <v>153</v>
      </c>
      <c r="P27" s="45" t="s">
        <v>154</v>
      </c>
    </row>
    <row r="28" spans="2:19" x14ac:dyDescent="0.25">
      <c r="B28" s="35" t="s">
        <v>150</v>
      </c>
      <c r="C28" s="36"/>
      <c r="D28" s="36"/>
      <c r="E28" s="36"/>
      <c r="F28" s="36"/>
      <c r="G28" s="36"/>
      <c r="H28" s="36"/>
      <c r="J28" s="35" t="s">
        <v>155</v>
      </c>
      <c r="P28" s="35" t="s">
        <v>157</v>
      </c>
    </row>
    <row r="29" spans="2:19" x14ac:dyDescent="0.25">
      <c r="B29" s="39" t="s">
        <v>121</v>
      </c>
      <c r="C29" s="39" t="s">
        <v>147</v>
      </c>
      <c r="D29" s="39" t="s">
        <v>148</v>
      </c>
      <c r="E29" s="39" t="s">
        <v>149</v>
      </c>
      <c r="J29" s="39" t="s">
        <v>121</v>
      </c>
      <c r="K29" s="39" t="s">
        <v>147</v>
      </c>
      <c r="L29" s="39" t="s">
        <v>148</v>
      </c>
      <c r="M29" s="39" t="s">
        <v>149</v>
      </c>
      <c r="P29" s="39" t="s">
        <v>121</v>
      </c>
      <c r="Q29" s="39" t="s">
        <v>147</v>
      </c>
      <c r="R29" s="39" t="s">
        <v>148</v>
      </c>
      <c r="S29" s="39" t="s">
        <v>149</v>
      </c>
    </row>
    <row r="30" spans="2:19" x14ac:dyDescent="0.25">
      <c r="B30" s="37" t="s">
        <v>122</v>
      </c>
      <c r="C30" s="38"/>
      <c r="D30" s="38"/>
      <c r="E30" s="38"/>
      <c r="J30" s="37" t="s">
        <v>122</v>
      </c>
      <c r="K30" s="38"/>
      <c r="L30" s="38"/>
      <c r="M30" s="38"/>
      <c r="P30" s="37" t="s">
        <v>135</v>
      </c>
      <c r="Q30" s="38"/>
      <c r="R30" s="38"/>
      <c r="S30" s="38"/>
    </row>
    <row r="31" spans="2:19" x14ac:dyDescent="0.25">
      <c r="B31" s="37" t="s">
        <v>123</v>
      </c>
      <c r="C31" s="38"/>
      <c r="D31" s="38"/>
      <c r="E31" s="38"/>
      <c r="J31" s="37" t="s">
        <v>48</v>
      </c>
      <c r="K31" s="41">
        <f>SUM(K30:K30)</f>
        <v>0</v>
      </c>
      <c r="L31" s="41">
        <f>SUM(L30:L30)</f>
        <v>0</v>
      </c>
      <c r="M31" s="41"/>
      <c r="P31" s="37" t="s">
        <v>48</v>
      </c>
      <c r="Q31" s="41">
        <f>SUM(Q30:Q30)</f>
        <v>0</v>
      </c>
      <c r="R31" s="41">
        <f>SUM(R30:R30)</f>
        <v>0</v>
      </c>
      <c r="S31" s="41"/>
    </row>
    <row r="32" spans="2:19" x14ac:dyDescent="0.25">
      <c r="B32" s="37" t="s">
        <v>48</v>
      </c>
      <c r="C32" s="41">
        <f>SUM(C30:C31)</f>
        <v>0</v>
      </c>
      <c r="D32" s="41">
        <f>SUM(D30:D31)</f>
        <v>0</v>
      </c>
      <c r="E32" s="41"/>
    </row>
    <row r="35" spans="2:19" x14ac:dyDescent="0.25">
      <c r="B35" s="35" t="s">
        <v>151</v>
      </c>
      <c r="J35" s="35" t="s">
        <v>156</v>
      </c>
      <c r="P35" s="35" t="s">
        <v>158</v>
      </c>
    </row>
    <row r="36" spans="2:19" x14ac:dyDescent="0.25">
      <c r="B36" s="39" t="s">
        <v>127</v>
      </c>
      <c r="C36" s="39" t="s">
        <v>118</v>
      </c>
      <c r="D36" s="39" t="s">
        <v>119</v>
      </c>
      <c r="E36" s="39" t="s">
        <v>120</v>
      </c>
      <c r="J36" s="39" t="s">
        <v>127</v>
      </c>
      <c r="K36" s="39" t="s">
        <v>147</v>
      </c>
      <c r="L36" s="39" t="s">
        <v>148</v>
      </c>
      <c r="M36" s="39" t="s">
        <v>149</v>
      </c>
      <c r="P36" s="39" t="s">
        <v>127</v>
      </c>
      <c r="Q36" s="39" t="s">
        <v>147</v>
      </c>
      <c r="R36" s="39" t="s">
        <v>148</v>
      </c>
      <c r="S36" s="39" t="s">
        <v>149</v>
      </c>
    </row>
    <row r="37" spans="2:19" x14ac:dyDescent="0.25">
      <c r="B37" s="37" t="s">
        <v>126</v>
      </c>
      <c r="C37" s="38"/>
      <c r="D37" s="38"/>
      <c r="E37" s="38"/>
      <c r="J37" s="37" t="s">
        <v>126</v>
      </c>
      <c r="K37" s="38"/>
      <c r="L37" s="38"/>
      <c r="M37" s="38"/>
      <c r="P37" s="37" t="s">
        <v>126</v>
      </c>
      <c r="Q37" s="38"/>
      <c r="R37" s="38"/>
      <c r="S37" s="38"/>
    </row>
    <row r="38" spans="2:19" x14ac:dyDescent="0.25">
      <c r="B38" s="37" t="s">
        <v>81</v>
      </c>
      <c r="C38" s="38"/>
      <c r="D38" s="38"/>
      <c r="E38" s="38"/>
      <c r="J38" s="37" t="s">
        <v>81</v>
      </c>
      <c r="K38" s="38"/>
      <c r="L38" s="38"/>
      <c r="M38" s="38"/>
      <c r="P38" s="37" t="s">
        <v>81</v>
      </c>
      <c r="Q38" s="38"/>
      <c r="R38" s="38"/>
      <c r="S38" s="38"/>
    </row>
    <row r="39" spans="2:19" x14ac:dyDescent="0.25">
      <c r="B39" s="37" t="s">
        <v>48</v>
      </c>
      <c r="C39" s="41">
        <f>SUM(C37:C38)</f>
        <v>0</v>
      </c>
      <c r="D39" s="41">
        <f>SUM(D37:D38)</f>
        <v>0</v>
      </c>
      <c r="E39" s="41"/>
      <c r="J39" s="37" t="s">
        <v>48</v>
      </c>
      <c r="K39" s="41">
        <f>SUM(K37:K38)</f>
        <v>0</v>
      </c>
      <c r="L39" s="41">
        <f>SUM(L37:L38)</f>
        <v>0</v>
      </c>
      <c r="M39" s="41"/>
      <c r="P39" s="37" t="s">
        <v>48</v>
      </c>
      <c r="Q39" s="41">
        <f>SUM(Q37:Q38)</f>
        <v>0</v>
      </c>
      <c r="R39" s="41">
        <f>SUM(R37:R38)</f>
        <v>0</v>
      </c>
      <c r="S39" s="41"/>
    </row>
    <row r="42" spans="2:19" x14ac:dyDescent="0.25">
      <c r="B42" s="35" t="s">
        <v>152</v>
      </c>
    </row>
    <row r="43" spans="2:19" x14ac:dyDescent="0.25">
      <c r="B43" s="39" t="s">
        <v>135</v>
      </c>
      <c r="C43" s="39" t="s">
        <v>118</v>
      </c>
      <c r="D43" s="39" t="s">
        <v>119</v>
      </c>
      <c r="E43" s="39" t="s">
        <v>120</v>
      </c>
    </row>
    <row r="44" spans="2:19" x14ac:dyDescent="0.25">
      <c r="B44" s="37" t="s">
        <v>128</v>
      </c>
      <c r="C44" s="38"/>
      <c r="D44" s="38"/>
      <c r="E44" s="38"/>
    </row>
    <row r="45" spans="2:19" x14ac:dyDescent="0.25">
      <c r="B45" s="37" t="s">
        <v>129</v>
      </c>
      <c r="C45" s="38"/>
      <c r="D45" s="38"/>
      <c r="E45" s="38"/>
    </row>
    <row r="46" spans="2:19" x14ac:dyDescent="0.25">
      <c r="B46" s="37" t="s">
        <v>48</v>
      </c>
      <c r="C46" s="41">
        <f>SUM(C44:C45)</f>
        <v>0</v>
      </c>
      <c r="D46" s="41">
        <f>SUM(D44:D45)</f>
        <v>0</v>
      </c>
      <c r="E46" s="41"/>
    </row>
    <row r="49" spans="2:10" x14ac:dyDescent="0.25">
      <c r="B49" s="46" t="s">
        <v>159</v>
      </c>
    </row>
    <row r="50" spans="2:10" x14ac:dyDescent="0.25">
      <c r="B50" s="35" t="s">
        <v>171</v>
      </c>
    </row>
    <row r="51" spans="2:10" x14ac:dyDescent="0.25">
      <c r="B51" s="39" t="s">
        <v>160</v>
      </c>
      <c r="C51" s="39" t="s">
        <v>118</v>
      </c>
      <c r="D51" s="39" t="s">
        <v>119</v>
      </c>
      <c r="E51" s="39" t="s">
        <v>120</v>
      </c>
      <c r="F51" s="39" t="s">
        <v>124</v>
      </c>
      <c r="G51" s="39" t="s">
        <v>125</v>
      </c>
      <c r="H51" s="39" t="s">
        <v>73</v>
      </c>
    </row>
    <row r="52" spans="2:10" x14ac:dyDescent="0.25">
      <c r="B52" s="41" t="s">
        <v>147</v>
      </c>
      <c r="C52" s="40"/>
      <c r="D52" s="40"/>
      <c r="E52" s="40"/>
      <c r="F52" s="40"/>
      <c r="G52" s="40"/>
      <c r="H52" s="40"/>
      <c r="J52" s="47" t="s">
        <v>174</v>
      </c>
    </row>
    <row r="53" spans="2:10" x14ac:dyDescent="0.25">
      <c r="B53" s="41" t="s">
        <v>148</v>
      </c>
      <c r="C53" s="40"/>
      <c r="D53" s="40"/>
      <c r="E53" s="40"/>
      <c r="F53" s="40"/>
      <c r="G53" s="40"/>
      <c r="H53" s="40"/>
    </row>
    <row r="54" spans="2:10" x14ac:dyDescent="0.25">
      <c r="B54" s="41" t="s">
        <v>161</v>
      </c>
      <c r="C54" s="40"/>
      <c r="D54" s="40"/>
      <c r="E54" s="40"/>
      <c r="F54" s="40"/>
      <c r="G54" s="40"/>
      <c r="H54" s="40"/>
    </row>
    <row r="55" spans="2:10" x14ac:dyDescent="0.25">
      <c r="B55" s="41" t="s">
        <v>162</v>
      </c>
      <c r="C55" s="40"/>
      <c r="D55" s="40"/>
      <c r="E55" s="40"/>
      <c r="F55" s="40"/>
      <c r="G55" s="40"/>
      <c r="H55" s="40"/>
    </row>
    <row r="56" spans="2:10" x14ac:dyDescent="0.25">
      <c r="B56" s="41" t="s">
        <v>163</v>
      </c>
      <c r="C56" s="40"/>
      <c r="D56" s="40"/>
      <c r="E56" s="40"/>
      <c r="F56" s="40"/>
      <c r="G56" s="40"/>
      <c r="H56" s="40"/>
    </row>
    <row r="57" spans="2:10" x14ac:dyDescent="0.25">
      <c r="B57" s="41" t="s">
        <v>164</v>
      </c>
      <c r="C57" s="40"/>
      <c r="D57" s="40"/>
      <c r="E57" s="40"/>
      <c r="F57" s="40"/>
      <c r="G57" s="40"/>
      <c r="H57" s="40"/>
    </row>
    <row r="58" spans="2:10" x14ac:dyDescent="0.25">
      <c r="B58" s="41" t="s">
        <v>165</v>
      </c>
      <c r="C58" s="40"/>
      <c r="D58" s="40"/>
      <c r="E58" s="40"/>
      <c r="F58" s="40"/>
      <c r="G58" s="40"/>
      <c r="H58" s="40"/>
    </row>
    <row r="59" spans="2:10" x14ac:dyDescent="0.25">
      <c r="B59" s="41" t="s">
        <v>166</v>
      </c>
      <c r="C59" s="40"/>
      <c r="D59" s="40"/>
      <c r="E59" s="40"/>
      <c r="F59" s="40"/>
      <c r="G59" s="40"/>
      <c r="H59" s="40"/>
    </row>
    <row r="60" spans="2:10" x14ac:dyDescent="0.25">
      <c r="B60" s="41" t="s">
        <v>167</v>
      </c>
      <c r="C60" s="40"/>
      <c r="D60" s="40"/>
      <c r="E60" s="40"/>
      <c r="F60" s="40"/>
      <c r="G60" s="40"/>
      <c r="H60" s="40"/>
    </row>
    <row r="61" spans="2:10" x14ac:dyDescent="0.25">
      <c r="B61" s="41" t="s">
        <v>168</v>
      </c>
      <c r="C61" s="40"/>
      <c r="D61" s="40"/>
      <c r="E61" s="40"/>
      <c r="F61" s="40"/>
      <c r="G61" s="40"/>
      <c r="H61" s="40"/>
    </row>
    <row r="62" spans="2:10" x14ac:dyDescent="0.25">
      <c r="B62" s="41" t="s">
        <v>169</v>
      </c>
      <c r="C62" s="40"/>
      <c r="D62" s="40"/>
      <c r="E62" s="40"/>
      <c r="F62" s="40"/>
      <c r="G62" s="40"/>
      <c r="H62" s="40"/>
    </row>
    <row r="63" spans="2:10" x14ac:dyDescent="0.25">
      <c r="B63" s="41" t="s">
        <v>170</v>
      </c>
      <c r="C63" s="40"/>
      <c r="D63" s="40"/>
      <c r="E63" s="40"/>
      <c r="F63" s="40"/>
      <c r="G63" s="40"/>
      <c r="H63" s="40"/>
    </row>
    <row r="64" spans="2:10" x14ac:dyDescent="0.25">
      <c r="B64" s="41" t="s">
        <v>48</v>
      </c>
      <c r="C64" s="40"/>
      <c r="D64" s="40"/>
      <c r="E64" s="40"/>
      <c r="F64" s="40"/>
      <c r="G64" s="40"/>
      <c r="H64" s="40"/>
    </row>
    <row r="67" spans="2:8" x14ac:dyDescent="0.25">
      <c r="B67" s="35" t="s">
        <v>172</v>
      </c>
    </row>
    <row r="68" spans="2:8" x14ac:dyDescent="0.25">
      <c r="B68" s="39" t="s">
        <v>160</v>
      </c>
      <c r="C68" s="39" t="s">
        <v>118</v>
      </c>
      <c r="D68" s="39" t="s">
        <v>119</v>
      </c>
      <c r="E68" s="39" t="s">
        <v>120</v>
      </c>
      <c r="F68" s="39" t="s">
        <v>124</v>
      </c>
      <c r="G68" s="39" t="s">
        <v>125</v>
      </c>
      <c r="H68" s="39" t="s">
        <v>73</v>
      </c>
    </row>
    <row r="69" spans="2:8" x14ac:dyDescent="0.25">
      <c r="B69" s="41" t="s">
        <v>147</v>
      </c>
      <c r="C69" s="40"/>
      <c r="D69" s="40"/>
      <c r="E69" s="40"/>
      <c r="F69" s="40"/>
      <c r="G69" s="40"/>
      <c r="H69" s="40"/>
    </row>
    <row r="70" spans="2:8" x14ac:dyDescent="0.25">
      <c r="B70" s="41" t="s">
        <v>148</v>
      </c>
      <c r="C70" s="40"/>
      <c r="D70" s="40"/>
      <c r="E70" s="40"/>
      <c r="F70" s="40"/>
      <c r="G70" s="40"/>
      <c r="H70" s="40"/>
    </row>
    <row r="71" spans="2:8" x14ac:dyDescent="0.25">
      <c r="B71" s="41" t="s">
        <v>161</v>
      </c>
      <c r="C71" s="40"/>
      <c r="D71" s="40"/>
      <c r="E71" s="40"/>
      <c r="F71" s="40"/>
      <c r="G71" s="40"/>
      <c r="H71" s="40"/>
    </row>
    <row r="72" spans="2:8" x14ac:dyDescent="0.25">
      <c r="B72" s="41" t="s">
        <v>162</v>
      </c>
      <c r="C72" s="40"/>
      <c r="D72" s="40"/>
      <c r="E72" s="40"/>
      <c r="F72" s="40"/>
      <c r="G72" s="40"/>
      <c r="H72" s="40"/>
    </row>
    <row r="73" spans="2:8" x14ac:dyDescent="0.25">
      <c r="B73" s="41" t="s">
        <v>163</v>
      </c>
      <c r="C73" s="40"/>
      <c r="D73" s="40"/>
      <c r="E73" s="40"/>
      <c r="F73" s="40"/>
      <c r="G73" s="40"/>
      <c r="H73" s="40"/>
    </row>
    <row r="74" spans="2:8" x14ac:dyDescent="0.25">
      <c r="B74" s="41" t="s">
        <v>164</v>
      </c>
      <c r="C74" s="40"/>
      <c r="D74" s="40"/>
      <c r="E74" s="40"/>
      <c r="F74" s="40"/>
      <c r="G74" s="40"/>
      <c r="H74" s="40"/>
    </row>
    <row r="75" spans="2:8" x14ac:dyDescent="0.25">
      <c r="B75" s="41" t="s">
        <v>165</v>
      </c>
      <c r="C75" s="40"/>
      <c r="D75" s="40"/>
      <c r="E75" s="40"/>
      <c r="F75" s="40"/>
      <c r="G75" s="40"/>
      <c r="H75" s="40"/>
    </row>
    <row r="76" spans="2:8" x14ac:dyDescent="0.25">
      <c r="B76" s="41" t="s">
        <v>166</v>
      </c>
      <c r="C76" s="40"/>
      <c r="D76" s="40"/>
      <c r="E76" s="40"/>
      <c r="F76" s="40"/>
      <c r="G76" s="40"/>
      <c r="H76" s="40"/>
    </row>
    <row r="77" spans="2:8" x14ac:dyDescent="0.25">
      <c r="B77" s="41" t="s">
        <v>167</v>
      </c>
      <c r="C77" s="40"/>
      <c r="D77" s="40"/>
      <c r="E77" s="40"/>
      <c r="F77" s="40"/>
      <c r="G77" s="40"/>
      <c r="H77" s="40"/>
    </row>
    <row r="78" spans="2:8" x14ac:dyDescent="0.25">
      <c r="B78" s="41" t="s">
        <v>168</v>
      </c>
      <c r="C78" s="40"/>
      <c r="D78" s="40"/>
      <c r="E78" s="40"/>
      <c r="F78" s="40"/>
      <c r="G78" s="40"/>
      <c r="H78" s="40"/>
    </row>
    <row r="79" spans="2:8" x14ac:dyDescent="0.25">
      <c r="B79" s="41" t="s">
        <v>169</v>
      </c>
      <c r="C79" s="40"/>
      <c r="D79" s="40"/>
      <c r="E79" s="40"/>
      <c r="F79" s="40"/>
      <c r="G79" s="40"/>
      <c r="H79" s="40"/>
    </row>
    <row r="80" spans="2:8" x14ac:dyDescent="0.25">
      <c r="B80" s="41" t="s">
        <v>170</v>
      </c>
      <c r="C80" s="40"/>
      <c r="D80" s="40"/>
      <c r="E80" s="40"/>
      <c r="F80" s="40"/>
      <c r="G80" s="40"/>
      <c r="H80" s="40"/>
    </row>
    <row r="81" spans="2:8" x14ac:dyDescent="0.25">
      <c r="B81" s="41" t="s">
        <v>48</v>
      </c>
      <c r="C81" s="40"/>
      <c r="D81" s="40"/>
      <c r="E81" s="40"/>
      <c r="F81" s="40"/>
      <c r="G81" s="40"/>
      <c r="H81" s="40"/>
    </row>
    <row r="84" spans="2:8" x14ac:dyDescent="0.25">
      <c r="B84" s="35" t="s">
        <v>173</v>
      </c>
    </row>
    <row r="85" spans="2:8" x14ac:dyDescent="0.25">
      <c r="B85" s="39" t="s">
        <v>160</v>
      </c>
      <c r="C85" s="39" t="s">
        <v>118</v>
      </c>
      <c r="D85" s="39" t="s">
        <v>119</v>
      </c>
      <c r="E85" s="39" t="s">
        <v>120</v>
      </c>
      <c r="F85" s="39" t="s">
        <v>124</v>
      </c>
      <c r="G85" s="39" t="s">
        <v>125</v>
      </c>
      <c r="H85" s="39" t="s">
        <v>73</v>
      </c>
    </row>
    <row r="86" spans="2:8" x14ac:dyDescent="0.25">
      <c r="B86" s="41" t="s">
        <v>147</v>
      </c>
      <c r="C86" s="40"/>
      <c r="D86" s="40"/>
      <c r="E86" s="40"/>
      <c r="F86" s="40"/>
      <c r="G86" s="40"/>
      <c r="H86" s="40"/>
    </row>
    <row r="87" spans="2:8" x14ac:dyDescent="0.25">
      <c r="B87" s="41" t="s">
        <v>148</v>
      </c>
      <c r="C87" s="40"/>
      <c r="D87" s="40"/>
      <c r="E87" s="40"/>
      <c r="F87" s="40"/>
      <c r="G87" s="40"/>
      <c r="H87" s="40"/>
    </row>
    <row r="88" spans="2:8" x14ac:dyDescent="0.25">
      <c r="B88" s="41" t="s">
        <v>161</v>
      </c>
      <c r="C88" s="40"/>
      <c r="D88" s="40"/>
      <c r="E88" s="40"/>
      <c r="F88" s="40"/>
      <c r="G88" s="40"/>
      <c r="H88" s="40"/>
    </row>
    <row r="89" spans="2:8" x14ac:dyDescent="0.25">
      <c r="B89" s="41" t="s">
        <v>162</v>
      </c>
      <c r="C89" s="40"/>
      <c r="D89" s="40"/>
      <c r="E89" s="40"/>
      <c r="F89" s="40"/>
      <c r="G89" s="40"/>
      <c r="H89" s="40"/>
    </row>
    <row r="90" spans="2:8" x14ac:dyDescent="0.25">
      <c r="B90" s="41" t="s">
        <v>163</v>
      </c>
      <c r="C90" s="40"/>
      <c r="D90" s="40"/>
      <c r="E90" s="40"/>
      <c r="F90" s="40"/>
      <c r="G90" s="40"/>
      <c r="H90" s="40"/>
    </row>
    <row r="91" spans="2:8" x14ac:dyDescent="0.25">
      <c r="B91" s="41" t="s">
        <v>164</v>
      </c>
      <c r="C91" s="40"/>
      <c r="D91" s="40"/>
      <c r="E91" s="40"/>
      <c r="F91" s="40"/>
      <c r="G91" s="40"/>
      <c r="H91" s="40"/>
    </row>
    <row r="92" spans="2:8" x14ac:dyDescent="0.25">
      <c r="B92" s="41" t="s">
        <v>165</v>
      </c>
      <c r="C92" s="40"/>
      <c r="D92" s="40"/>
      <c r="E92" s="40"/>
      <c r="F92" s="40"/>
      <c r="G92" s="40"/>
      <c r="H92" s="40"/>
    </row>
    <row r="93" spans="2:8" x14ac:dyDescent="0.25">
      <c r="B93" s="41" t="s">
        <v>166</v>
      </c>
      <c r="C93" s="40"/>
      <c r="D93" s="40"/>
      <c r="E93" s="40"/>
      <c r="F93" s="40"/>
      <c r="G93" s="40"/>
      <c r="H93" s="40"/>
    </row>
    <row r="94" spans="2:8" x14ac:dyDescent="0.25">
      <c r="B94" s="41" t="s">
        <v>167</v>
      </c>
      <c r="C94" s="40"/>
      <c r="D94" s="40"/>
      <c r="E94" s="40"/>
      <c r="F94" s="40"/>
      <c r="G94" s="40"/>
      <c r="H94" s="40"/>
    </row>
    <row r="95" spans="2:8" x14ac:dyDescent="0.25">
      <c r="B95" s="41" t="s">
        <v>168</v>
      </c>
      <c r="C95" s="40"/>
      <c r="D95" s="40"/>
      <c r="E95" s="40"/>
      <c r="F95" s="40"/>
      <c r="G95" s="40"/>
      <c r="H95" s="40"/>
    </row>
    <row r="96" spans="2:8" x14ac:dyDescent="0.25">
      <c r="B96" s="41" t="s">
        <v>169</v>
      </c>
      <c r="C96" s="40"/>
      <c r="D96" s="40"/>
      <c r="E96" s="40"/>
      <c r="F96" s="40"/>
      <c r="G96" s="40"/>
      <c r="H96" s="40"/>
    </row>
    <row r="97" spans="2:8" x14ac:dyDescent="0.25">
      <c r="B97" s="41" t="s">
        <v>170</v>
      </c>
      <c r="C97" s="40"/>
      <c r="D97" s="40"/>
      <c r="E97" s="40"/>
      <c r="F97" s="40"/>
      <c r="G97" s="40"/>
      <c r="H97" s="40"/>
    </row>
    <row r="98" spans="2:8" x14ac:dyDescent="0.25">
      <c r="B98" s="41" t="s">
        <v>48</v>
      </c>
      <c r="C98" s="40"/>
      <c r="D98" s="40"/>
      <c r="E98" s="40"/>
      <c r="F98" s="40"/>
      <c r="G98" s="40"/>
      <c r="H98" s="4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204A-04AA-4091-8D2C-606A45C6D6DA}">
  <dimension ref="B2:C34"/>
  <sheetViews>
    <sheetView topLeftCell="A22" workbookViewId="0">
      <selection activeCell="E15" sqref="E15"/>
    </sheetView>
  </sheetViews>
  <sheetFormatPr defaultRowHeight="15" x14ac:dyDescent="0.25"/>
  <cols>
    <col min="2" max="2" width="14.85546875" customWidth="1"/>
    <col min="3" max="3" width="11.5703125" bestFit="1" customWidth="1"/>
  </cols>
  <sheetData>
    <row r="2" spans="2:3" x14ac:dyDescent="0.25">
      <c r="B2" s="49">
        <v>100000000</v>
      </c>
    </row>
    <row r="3" spans="2:3" x14ac:dyDescent="0.25">
      <c r="B3" t="s">
        <v>0</v>
      </c>
      <c r="C3" t="s">
        <v>182</v>
      </c>
    </row>
    <row r="4" spans="2:3" x14ac:dyDescent="0.25">
      <c r="B4" s="48">
        <v>45778</v>
      </c>
      <c r="C4" s="50">
        <f>$B$2/30</f>
        <v>3333333.3333333335</v>
      </c>
    </row>
    <row r="5" spans="2:3" x14ac:dyDescent="0.25">
      <c r="B5" s="48">
        <v>45779</v>
      </c>
      <c r="C5" s="50">
        <f t="shared" ref="C5:C34" si="0">$B$2/30</f>
        <v>3333333.3333333335</v>
      </c>
    </row>
    <row r="6" spans="2:3" x14ac:dyDescent="0.25">
      <c r="B6" s="48">
        <v>45780</v>
      </c>
      <c r="C6" s="50">
        <f t="shared" si="0"/>
        <v>3333333.3333333335</v>
      </c>
    </row>
    <row r="7" spans="2:3" x14ac:dyDescent="0.25">
      <c r="B7" s="48">
        <v>45781</v>
      </c>
      <c r="C7" s="50">
        <f t="shared" si="0"/>
        <v>3333333.3333333335</v>
      </c>
    </row>
    <row r="8" spans="2:3" x14ac:dyDescent="0.25">
      <c r="B8" s="48">
        <v>45782</v>
      </c>
      <c r="C8" s="50">
        <f t="shared" si="0"/>
        <v>3333333.3333333335</v>
      </c>
    </row>
    <row r="9" spans="2:3" x14ac:dyDescent="0.25">
      <c r="B9" s="48">
        <v>45783</v>
      </c>
      <c r="C9" s="50">
        <f t="shared" si="0"/>
        <v>3333333.3333333335</v>
      </c>
    </row>
    <row r="10" spans="2:3" x14ac:dyDescent="0.25">
      <c r="B10" s="48">
        <v>45784</v>
      </c>
      <c r="C10" s="50">
        <f t="shared" si="0"/>
        <v>3333333.3333333335</v>
      </c>
    </row>
    <row r="11" spans="2:3" x14ac:dyDescent="0.25">
      <c r="B11" s="48">
        <v>45785</v>
      </c>
      <c r="C11" s="50">
        <f t="shared" si="0"/>
        <v>3333333.3333333335</v>
      </c>
    </row>
    <row r="12" spans="2:3" x14ac:dyDescent="0.25">
      <c r="B12" s="48">
        <v>45786</v>
      </c>
      <c r="C12" s="50">
        <f t="shared" si="0"/>
        <v>3333333.3333333335</v>
      </c>
    </row>
    <row r="13" spans="2:3" x14ac:dyDescent="0.25">
      <c r="B13" s="48">
        <v>45787</v>
      </c>
      <c r="C13" s="50">
        <f t="shared" si="0"/>
        <v>3333333.3333333335</v>
      </c>
    </row>
    <row r="14" spans="2:3" x14ac:dyDescent="0.25">
      <c r="B14" s="48">
        <v>45788</v>
      </c>
      <c r="C14" s="50">
        <f t="shared" si="0"/>
        <v>3333333.3333333335</v>
      </c>
    </row>
    <row r="15" spans="2:3" x14ac:dyDescent="0.25">
      <c r="B15" s="48">
        <v>45789</v>
      </c>
      <c r="C15" s="50">
        <f t="shared" si="0"/>
        <v>3333333.3333333335</v>
      </c>
    </row>
    <row r="16" spans="2:3" x14ac:dyDescent="0.25">
      <c r="B16" s="48">
        <v>45790</v>
      </c>
      <c r="C16" s="50">
        <f t="shared" si="0"/>
        <v>3333333.3333333335</v>
      </c>
    </row>
    <row r="17" spans="2:3" x14ac:dyDescent="0.25">
      <c r="B17" s="48">
        <v>45791</v>
      </c>
      <c r="C17" s="50">
        <f t="shared" si="0"/>
        <v>3333333.3333333335</v>
      </c>
    </row>
    <row r="18" spans="2:3" x14ac:dyDescent="0.25">
      <c r="B18" s="48">
        <v>45792</v>
      </c>
      <c r="C18" s="50">
        <f t="shared" si="0"/>
        <v>3333333.3333333335</v>
      </c>
    </row>
    <row r="19" spans="2:3" x14ac:dyDescent="0.25">
      <c r="B19" s="48">
        <v>45793</v>
      </c>
      <c r="C19" s="50">
        <f t="shared" si="0"/>
        <v>3333333.3333333335</v>
      </c>
    </row>
    <row r="20" spans="2:3" x14ac:dyDescent="0.25">
      <c r="B20" s="48">
        <v>45794</v>
      </c>
      <c r="C20" s="50">
        <f t="shared" si="0"/>
        <v>3333333.3333333335</v>
      </c>
    </row>
    <row r="21" spans="2:3" x14ac:dyDescent="0.25">
      <c r="B21" s="48">
        <v>45795</v>
      </c>
      <c r="C21" s="50">
        <f t="shared" si="0"/>
        <v>3333333.3333333335</v>
      </c>
    </row>
    <row r="22" spans="2:3" x14ac:dyDescent="0.25">
      <c r="B22" s="48">
        <v>45796</v>
      </c>
      <c r="C22" s="50">
        <f t="shared" si="0"/>
        <v>3333333.3333333335</v>
      </c>
    </row>
    <row r="23" spans="2:3" x14ac:dyDescent="0.25">
      <c r="B23" s="48">
        <v>45797</v>
      </c>
      <c r="C23" s="50">
        <f t="shared" si="0"/>
        <v>3333333.3333333335</v>
      </c>
    </row>
    <row r="24" spans="2:3" x14ac:dyDescent="0.25">
      <c r="B24" s="48">
        <v>45798</v>
      </c>
      <c r="C24" s="50">
        <f t="shared" si="0"/>
        <v>3333333.3333333335</v>
      </c>
    </row>
    <row r="25" spans="2:3" x14ac:dyDescent="0.25">
      <c r="B25" s="48">
        <v>45799</v>
      </c>
      <c r="C25" s="50">
        <f t="shared" si="0"/>
        <v>3333333.3333333335</v>
      </c>
    </row>
    <row r="26" spans="2:3" x14ac:dyDescent="0.25">
      <c r="B26" s="48">
        <v>45800</v>
      </c>
      <c r="C26" s="50">
        <f t="shared" si="0"/>
        <v>3333333.3333333335</v>
      </c>
    </row>
    <row r="27" spans="2:3" x14ac:dyDescent="0.25">
      <c r="B27" s="48">
        <v>45801</v>
      </c>
      <c r="C27" s="50">
        <f t="shared" si="0"/>
        <v>3333333.3333333335</v>
      </c>
    </row>
    <row r="28" spans="2:3" x14ac:dyDescent="0.25">
      <c r="B28" s="48">
        <v>45802</v>
      </c>
      <c r="C28" s="50">
        <f t="shared" si="0"/>
        <v>3333333.3333333335</v>
      </c>
    </row>
    <row r="29" spans="2:3" x14ac:dyDescent="0.25">
      <c r="B29" s="48">
        <v>45803</v>
      </c>
      <c r="C29" s="50">
        <f t="shared" si="0"/>
        <v>3333333.3333333335</v>
      </c>
    </row>
    <row r="30" spans="2:3" x14ac:dyDescent="0.25">
      <c r="B30" s="48">
        <v>45804</v>
      </c>
      <c r="C30" s="50">
        <f t="shared" si="0"/>
        <v>3333333.3333333335</v>
      </c>
    </row>
    <row r="31" spans="2:3" x14ac:dyDescent="0.25">
      <c r="B31" s="48">
        <v>45805</v>
      </c>
      <c r="C31" s="50">
        <f t="shared" si="0"/>
        <v>3333333.3333333335</v>
      </c>
    </row>
    <row r="32" spans="2:3" x14ac:dyDescent="0.25">
      <c r="B32" s="48">
        <v>45806</v>
      </c>
      <c r="C32" s="50">
        <f t="shared" si="0"/>
        <v>3333333.3333333335</v>
      </c>
    </row>
    <row r="33" spans="2:3" x14ac:dyDescent="0.25">
      <c r="B33" s="48">
        <v>45807</v>
      </c>
      <c r="C33" s="50">
        <f t="shared" si="0"/>
        <v>3333333.3333333335</v>
      </c>
    </row>
    <row r="34" spans="2:3" x14ac:dyDescent="0.25">
      <c r="B34" s="48">
        <v>45808</v>
      </c>
      <c r="C34" s="50">
        <f t="shared" si="0"/>
        <v>3333333.3333333335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52AD4-2FBE-42F2-BB95-E6B29F027581}">
  <dimension ref="A3:A8"/>
  <sheetViews>
    <sheetView workbookViewId="0">
      <selection activeCell="B11" sqref="B11"/>
    </sheetView>
  </sheetViews>
  <sheetFormatPr defaultRowHeight="15" x14ac:dyDescent="0.25"/>
  <sheetData>
    <row r="3" spans="1:1" x14ac:dyDescent="0.25">
      <c r="A3" t="s">
        <v>176</v>
      </c>
    </row>
    <row r="4" spans="1:1" x14ac:dyDescent="0.25">
      <c r="A4" t="s">
        <v>177</v>
      </c>
    </row>
    <row r="5" spans="1:1" x14ac:dyDescent="0.25">
      <c r="A5" t="s">
        <v>179</v>
      </c>
    </row>
    <row r="6" spans="1:1" x14ac:dyDescent="0.25">
      <c r="A6" t="s">
        <v>178</v>
      </c>
    </row>
    <row r="7" spans="1:1" x14ac:dyDescent="0.25">
      <c r="A7" t="s">
        <v>180</v>
      </c>
    </row>
    <row r="8" spans="1:1" x14ac:dyDescent="0.25">
      <c r="A8" t="s">
        <v>181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I21"/>
  <sheetViews>
    <sheetView workbookViewId="0">
      <selection activeCell="J13" sqref="J13"/>
    </sheetView>
  </sheetViews>
  <sheetFormatPr defaultRowHeight="15" x14ac:dyDescent="0.25"/>
  <cols>
    <col min="1" max="1" width="9.140625" style="1"/>
    <col min="2" max="2" width="10.7109375" style="1" bestFit="1" customWidth="1"/>
    <col min="3" max="3" width="20.42578125" style="1" bestFit="1" customWidth="1"/>
    <col min="4" max="4" width="20.140625" style="1" customWidth="1"/>
    <col min="5" max="5" width="14.5703125" style="1" customWidth="1"/>
    <col min="6" max="6" width="25.28515625" style="1" bestFit="1" customWidth="1"/>
    <col min="7" max="8" width="9.140625" style="1"/>
    <col min="9" max="9" width="31.5703125" style="1" bestFit="1" customWidth="1"/>
    <col min="10" max="16384" width="9.140625" style="1"/>
  </cols>
  <sheetData>
    <row r="3" spans="2:9" s="8" customFormat="1" x14ac:dyDescent="0.25">
      <c r="B3" s="30" t="s">
        <v>0</v>
      </c>
      <c r="C3" s="30" t="s">
        <v>65</v>
      </c>
      <c r="D3" s="30" t="s">
        <v>66</v>
      </c>
      <c r="E3" s="30" t="s">
        <v>67</v>
      </c>
      <c r="F3" s="30" t="s">
        <v>68</v>
      </c>
      <c r="G3" s="30" t="s">
        <v>69</v>
      </c>
      <c r="H3" s="30" t="s">
        <v>70</v>
      </c>
      <c r="I3" s="30" t="s">
        <v>71</v>
      </c>
    </row>
    <row r="4" spans="2:9" x14ac:dyDescent="0.25">
      <c r="B4" s="4"/>
      <c r="C4" s="4"/>
      <c r="D4" s="4"/>
      <c r="E4" s="4"/>
      <c r="F4" s="4"/>
      <c r="G4" s="4"/>
      <c r="H4" s="4"/>
      <c r="I4" s="3"/>
    </row>
    <row r="5" spans="2:9" x14ac:dyDescent="0.25">
      <c r="B5" s="3"/>
      <c r="C5" s="3"/>
      <c r="D5" s="4"/>
      <c r="E5" s="4"/>
      <c r="F5" s="3"/>
      <c r="G5" s="3"/>
      <c r="H5" s="3"/>
      <c r="I5" s="3"/>
    </row>
    <row r="6" spans="2:9" x14ac:dyDescent="0.25">
      <c r="B6" s="3"/>
      <c r="C6" s="3"/>
      <c r="D6" s="3"/>
      <c r="E6" s="3"/>
      <c r="F6" s="3"/>
      <c r="G6" s="3"/>
      <c r="H6" s="3"/>
      <c r="I6" s="3"/>
    </row>
    <row r="7" spans="2:9" x14ac:dyDescent="0.25">
      <c r="B7" s="3"/>
      <c r="C7" s="3"/>
      <c r="D7" s="3"/>
      <c r="E7" s="3"/>
      <c r="F7" s="3"/>
      <c r="G7" s="3"/>
      <c r="H7" s="3"/>
      <c r="I7" s="3"/>
    </row>
    <row r="8" spans="2:9" x14ac:dyDescent="0.25">
      <c r="B8" s="3"/>
      <c r="C8" s="3"/>
      <c r="D8" s="3"/>
      <c r="E8" s="3"/>
      <c r="F8" s="3"/>
      <c r="G8" s="3"/>
      <c r="H8" s="3"/>
      <c r="I8" s="3"/>
    </row>
    <row r="9" spans="2:9" x14ac:dyDescent="0.25">
      <c r="B9" s="3"/>
      <c r="C9" s="3"/>
      <c r="D9" s="3"/>
      <c r="E9" s="3"/>
      <c r="F9" s="3"/>
      <c r="G9" s="3"/>
      <c r="H9" s="3"/>
      <c r="I9" s="3"/>
    </row>
    <row r="10" spans="2:9" x14ac:dyDescent="0.25">
      <c r="B10" s="3"/>
      <c r="C10" s="3"/>
      <c r="D10" s="3"/>
      <c r="E10" s="3"/>
      <c r="F10" s="3"/>
      <c r="G10" s="3"/>
      <c r="H10" s="3"/>
      <c r="I10" s="3"/>
    </row>
    <row r="11" spans="2:9" x14ac:dyDescent="0.25">
      <c r="B11" s="3"/>
      <c r="C11" s="3"/>
      <c r="D11" s="3"/>
      <c r="E11" s="3"/>
      <c r="F11" s="3"/>
      <c r="G11" s="3"/>
      <c r="H11" s="3"/>
      <c r="I11" s="3"/>
    </row>
    <row r="12" spans="2:9" x14ac:dyDescent="0.25">
      <c r="B12" s="3"/>
      <c r="C12" s="3"/>
      <c r="D12" s="3"/>
      <c r="E12" s="3"/>
      <c r="F12" s="3"/>
      <c r="G12" s="3"/>
      <c r="H12" s="3"/>
      <c r="I12" s="3"/>
    </row>
    <row r="13" spans="2:9" x14ac:dyDescent="0.25">
      <c r="B13" s="3"/>
      <c r="C13" s="3"/>
      <c r="D13" s="3"/>
      <c r="E13" s="3"/>
      <c r="F13" s="3"/>
      <c r="G13" s="3"/>
      <c r="H13" s="3"/>
      <c r="I13" s="3"/>
    </row>
    <row r="14" spans="2:9" x14ac:dyDescent="0.25">
      <c r="B14" s="3"/>
      <c r="C14" s="3"/>
      <c r="D14" s="3"/>
      <c r="E14" s="3"/>
      <c r="F14" s="3"/>
      <c r="G14" s="3"/>
      <c r="H14" s="3"/>
      <c r="I14" s="3"/>
    </row>
    <row r="15" spans="2:9" x14ac:dyDescent="0.25">
      <c r="B15" s="3"/>
      <c r="C15" s="3"/>
      <c r="D15" s="3"/>
      <c r="E15" s="3"/>
      <c r="F15" s="3"/>
      <c r="G15" s="3"/>
      <c r="H15" s="3"/>
      <c r="I15" s="3"/>
    </row>
    <row r="16" spans="2:9" x14ac:dyDescent="0.25">
      <c r="B16" s="3"/>
      <c r="C16" s="3"/>
      <c r="D16" s="3"/>
      <c r="E16" s="3"/>
      <c r="F16" s="3"/>
      <c r="G16" s="3"/>
      <c r="H16" s="3"/>
      <c r="I16" s="3"/>
    </row>
    <row r="17" spans="2:9" x14ac:dyDescent="0.25">
      <c r="B17" s="3"/>
      <c r="C17" s="3"/>
      <c r="D17" s="3"/>
      <c r="E17" s="3"/>
      <c r="F17" s="3"/>
      <c r="G17" s="3"/>
      <c r="H17" s="3"/>
      <c r="I17" s="3"/>
    </row>
    <row r="18" spans="2:9" x14ac:dyDescent="0.25">
      <c r="B18" s="3"/>
      <c r="C18" s="3"/>
      <c r="D18" s="3"/>
      <c r="E18" s="3"/>
      <c r="F18" s="3"/>
      <c r="G18" s="3"/>
      <c r="H18" s="3"/>
      <c r="I18" s="3"/>
    </row>
    <row r="19" spans="2:9" x14ac:dyDescent="0.25">
      <c r="B19" s="3"/>
      <c r="C19" s="3"/>
      <c r="D19" s="3"/>
      <c r="E19" s="3"/>
      <c r="F19" s="3"/>
      <c r="G19" s="3"/>
      <c r="H19" s="3"/>
      <c r="I19" s="3"/>
    </row>
    <row r="20" spans="2:9" x14ac:dyDescent="0.25">
      <c r="B20" s="3"/>
      <c r="C20" s="3"/>
      <c r="D20" s="3"/>
      <c r="E20" s="3"/>
      <c r="F20" s="3"/>
      <c r="G20" s="3"/>
      <c r="H20" s="3"/>
      <c r="I20" s="3"/>
    </row>
    <row r="21" spans="2:9" x14ac:dyDescent="0.25">
      <c r="B21" s="3"/>
      <c r="C21" s="3"/>
      <c r="D21" s="3"/>
      <c r="E21" s="3"/>
      <c r="F21" s="3"/>
      <c r="G21" s="3"/>
      <c r="H21" s="3"/>
      <c r="I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Prospek Harian (CS)</vt:lpstr>
      <vt:lpstr>Rekap Prospek Harian (CS)</vt:lpstr>
      <vt:lpstr>Dashboard Monitoring</vt:lpstr>
      <vt:lpstr>Dashborad Evaluasi</vt:lpstr>
      <vt:lpstr>Target Harian</vt:lpstr>
      <vt:lpstr>Analisis</vt:lpstr>
      <vt:lpstr>Corrective Action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faruq izah al afghani</cp:lastModifiedBy>
  <dcterms:created xsi:type="dcterms:W3CDTF">2022-06-12T06:14:41Z</dcterms:created>
  <dcterms:modified xsi:type="dcterms:W3CDTF">2025-05-26T06:38:20Z</dcterms:modified>
</cp:coreProperties>
</file>